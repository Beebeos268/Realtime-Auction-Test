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026"/>
  <workbookPr/>
  <mc:AlternateContent xmlns:mc="http://schemas.openxmlformats.org/markup-compatibility/2006">
    <mc:Choice Requires="x15">
      <x15ac:absPath xmlns:x15ac="http://schemas.microsoft.com/office/spreadsheetml/2010/11/ac" url="D:\đồ án\Test unit\TestProject1\Realtime-Auction-test\"/>
    </mc:Choice>
  </mc:AlternateContent>
  <xr:revisionPtr revIDLastSave="0" documentId="8_{90619463-A6C4-43E4-AAC3-64EE66A7E63B}" xr6:coauthVersionLast="47" xr6:coauthVersionMax="47" xr10:uidLastSave="{00000000-0000-0000-0000-000000000000}"/>
  <bookViews>
    <workbookView xWindow="-108" yWindow="-108" windowWidth="23256" windowHeight="12576" xr2:uid="{00000000-000D-0000-FFFF-FFFF00000000}"/>
  </bookViews>
  <sheets>
    <sheet name="Test Cases" sheetId="1" r:id="rId1"/>
    <sheet name="Test Data" sheetId="2" r:id="rId2"/>
    <sheet name="C# Method Reference" sheetId="3" r:id="rId3"/>
  </sheets>
  <calcPr calcId="191029"/>
  <fileRecoveryPr repairLoad="1"/>
</workbook>
</file>

<file path=xl/calcChain.xml><?xml version="1.0" encoding="utf-8"?>
<calcChain xmlns="http://schemas.openxmlformats.org/spreadsheetml/2006/main">
  <c r="G9" i="2" l="1"/>
  <c r="M10" i="1"/>
</calcChain>
</file>

<file path=xl/sharedStrings.xml><?xml version="1.0" encoding="utf-8"?>
<sst xmlns="http://schemas.openxmlformats.org/spreadsheetml/2006/main" count="727" uniqueCount="502">
  <si>
    <t>🏆  TEST CASES – ĐẤU GIÁ REAL-TIME (Selenium C#)</t>
  </si>
  <si>
    <t>Framework: Selenium WebDriver + NUnit/xUnit  |  Language: C#  |  Web: Real-Time Auction</t>
  </si>
  <si>
    <t>TC_ID</t>
  </si>
  <si>
    <t>Module</t>
  </si>
  <si>
    <t>Test Case Name</t>
  </si>
  <si>
    <t>Preconditions</t>
  </si>
  <si>
    <t>Test Steps</t>
  </si>
  <si>
    <t>Test Data</t>
  </si>
  <si>
    <t>Expected Result</t>
  </si>
  <si>
    <t>Actual Result</t>
  </si>
  <si>
    <t>Status</t>
  </si>
  <si>
    <t>Priority</t>
  </si>
  <si>
    <t>Selenium Locator</t>
  </si>
  <si>
    <t>C# Method</t>
  </si>
  <si>
    <t>Notes</t>
  </si>
  <si>
    <t>Automated</t>
  </si>
  <si>
    <t>📌 MODULE 0: ĐĂNG NHẬP (BUYER LOGIN) – Precondition bắt buộc trước khi đấu giá</t>
  </si>
  <si>
    <t>TC_L01</t>
  </si>
  <si>
    <t>Đăng nhập</t>
  </si>
  <si>
    <t>Đăng nhập thành công với tài khoản buyer hợp lệ</t>
  </si>
  <si>
    <t>Có tài khoản buyer đã đăng ký, chưa đăng nhập</t>
  </si>
  <si>
    <t>1. Mở trang đăng nhập /login
2. Nhập email hợp lệ
3. Nhập password hợp lệ
4. Click 'Đăng nhập'
5. Kiểm tra redirect</t>
  </si>
  <si>
    <t>Đăng nhập thành công, redirect về trang đấu giá hoặc dashboard buyer</t>
  </si>
  <si>
    <t>Chưa chạy</t>
  </si>
  <si>
    <t>Critical</t>
  </si>
  <si>
    <t>By.Id("email"), By.Id("password")</t>
  </si>
  <si>
    <t>LoginAsBuyer(email, pass)</t>
  </si>
  <si>
    <t>Precondition của TC_012–022</t>
  </si>
  <si>
    <t>✅ Yes</t>
  </si>
  <si>
    <t>TC_L02</t>
  </si>
  <si>
    <t>High</t>
  </si>
  <si>
    <t>Negative test</t>
  </si>
  <si>
    <t>TC_L03</t>
  </si>
  <si>
    <t>Chưa đăng nhập</t>
  </si>
  <si>
    <t>TC_L04</t>
  </si>
  <si>
    <t>TC_L05</t>
  </si>
  <si>
    <t>TC_L06</t>
  </si>
  <si>
    <t>📌 MODULE 1: HIỂN THỊ TRANG ĐẤU GIÁ</t>
  </si>
  <si>
    <t>TC_001</t>
  </si>
  <si>
    <t>Hiển thị trang</t>
  </si>
  <si>
    <t>Click vào sản phẩm bất kỳ → tải đúng trang đấu giá</t>
  </si>
  <si>
    <t>1. App chạy tại localhost:4200
2. Trang danh sách sản phẩm đã load
3. Có ít nhất 1 sản phẩm đang đấu giá</t>
  </si>
  <si>
    <t>1. Mở trang danh sách sản phẩm (http://localhost:4200)
2. Lấy danh sách sản phẩm hiển thị
3. Click vào sản phẩm bất kỳ (index random hoặc first)
4. Chờ URL thay đổi (WaitForUrlChange)
5. Kiểm tra URL mới match regex /auction/{uuid}
6. Kiểm tra trang đấu giá load đúng thông tin sản phẩm đó</t>
  </si>
  <si>
    <t>- URL pattern: /auction/[a-f0-9]{8}-[a-f0-9]{4}-[a-f0-9]{4}-[a-f0-9]{4}-[a-f0-9]{12}
- Lấy auctionId động từ URL sau khi click
- Không hardcode UUID cụ thể</t>
  </si>
  <si>
    <t>- URL redirect đúng format /auction/{uuid-v4}
- Trang hiển thị đúng tên, ảnh, giá của sản phẩm vừa click
- Áp dụng cho MỌI sản phẩm, không phụ thuộc UUID cụ thể</t>
  </si>
  <si>
    <t>By.CssSelector(".product-card, .auction-item")
→ Click any → driver.Url</t>
  </si>
  <si>
    <t>ClickAnyProductAndGetAuctionId()
// Returns: string auctionId from URL</t>
  </si>
  <si>
    <t>auctionId dùng làm biến động cho các TC tiếp theo trong cùng test run</t>
  </si>
  <si>
    <t>TC_002</t>
  </si>
  <si>
    <t>Hiển thị đúng giá cao nhất hiện tại</t>
  </si>
  <si>
    <t>Trang đã load, có ít nhất 1 lượt trả giá</t>
  </si>
  <si>
    <t>1. Tìm element 'Giá cao nhất hiện tại'
2. Lấy text giá
3. So sánh với giá kỳ vọng</t>
  </si>
  <si>
    <t>Giá hiện tại: 1,800,000 VNĐ</t>
  </si>
  <si>
    <t>Element hiển thị '1,800,000' với màu vàng (#F59E0B)</t>
  </si>
  <si>
    <t>By.CssSelector(".current-price")</t>
  </si>
  <si>
    <t>GetCurrentHighestBid()</t>
  </si>
  <si>
    <t>Kiểm tra cả format số</t>
  </si>
  <si>
    <t>TC_003</t>
  </si>
  <si>
    <t>Hiển thị đúng giá tối thiểu tiếp theo</t>
  </si>
  <si>
    <t>Trang đã load</t>
  </si>
  <si>
    <t>1. Tìm label 'Giá tối thiểu tiếp theo'
2. Lấy giá trị
3. Xác nhận = Giá hiện tại + Bước giá</t>
  </si>
  <si>
    <t>Giá tối thiểu: 1,900,000 VNĐ</t>
  </si>
  <si>
    <t>Hiển thị '1,900,000 VNĐ' màu đỏ/cam</t>
  </si>
  <si>
    <t>By.XPath("//span[@class='min-next-price']")</t>
  </si>
  <si>
    <t>GetMinimumNextBid()</t>
  </si>
  <si>
    <t>TC_004</t>
  </si>
  <si>
    <t>Hiển thị tổng số lượt trả giá</t>
  </si>
  <si>
    <t>Có ít nhất 3 lượt trả giá</t>
  </si>
  <si>
    <t>1. Tìm element 'Tổng lượt trả giá'
2. Lấy số
3. So sánh với lịch sử</t>
  </si>
  <si>
    <t>Tổng lượt: 3</t>
  </si>
  <si>
    <t>Hiển thị số '3' khớp với số dòng trong lịch sử trả giá</t>
  </si>
  <si>
    <t>Medium</t>
  </si>
  <si>
    <t>By.CssSelector(".bid-count")</t>
  </si>
  <si>
    <t>GetTotalBidCount()</t>
  </si>
  <si>
    <t>TC_005</t>
  </si>
  <si>
    <t>📌 MODULE 2: INPUT GIÁ ĐẤU</t>
  </si>
  <si>
    <t>TC_006</t>
  </si>
  <si>
    <t>Input giá</t>
  </si>
  <si>
    <t>Input field hiển thị giá tối thiểu mặc định</t>
  </si>
  <si>
    <t>1. Vào trang đấu giá
2. Quan sát input 'Nhập giá của bạn (VNĐ)'
3. Lấy giá trị hiển thị trong input
4. Kiểm tra text hint bên dưới input</t>
  </si>
  <si>
    <t>Input mặc định: 0
Hint text: 'Tối thiểu: 1,900,000 VNĐ' (lấy động)</t>
  </si>
  <si>
    <t>- Input hiển thị giá trị '0' (mặc định)
- Bên dưới input có text 'Tối thiểu: [GetMinimumNextBid()] VNĐ'
- Hai thông tin này tách biệt nhau</t>
  </si>
  <si>
    <t>By.CssSelector("input[name='bid_amount']")</t>
  </si>
  <si>
    <t>GetBidInputValue()</t>
  </si>
  <si>
    <t>Input default = 0, hint tối thiểu hiển thị riêng bên dưới</t>
  </si>
  <si>
    <t>TC_007</t>
  </si>
  <si>
    <t>Nhập giá hợp lệ (= giá tối thiểu tiếp theo)</t>
  </si>
  <si>
    <t>Trang đã load, đã đăng nhập</t>
  </si>
  <si>
    <t>1. Lấy giá tối thiểu tiếp theo từ trang (GetMinimumNextBid)
2. Click vào input giá
3. Clear giá trị cũ
4. Nhập đúng bằng giá tối thiểu tiếp theo
5. Kiểm tra không có lỗi validation
6. Kiểm tra nút 'Chốt giá ngay' enabled</t>
  </si>
  <si>
    <t>Input = GetMinimumNextBid() lấy động từ trang
VD hiện tại: 1,900,000 VNĐ
(= giá cao nhất + bước giá)</t>
  </si>
  <si>
    <t>Không hiện thông báo lỗi, nút 'Chốt giá ngay' enabled</t>
  </si>
  <si>
    <t>By.Id("bid-input")</t>
  </si>
  <si>
    <t>EnterBidAmount(2000000)</t>
  </si>
  <si>
    <t>Giá tối thiểu lấy động — pass với mọi phiên đấu giá</t>
  </si>
  <si>
    <t>TC_008</t>
  </si>
  <si>
    <t>Nhập giá thấp hơn giá tối thiểu tiếp theo</t>
  </si>
  <si>
    <t>1. Lấy giá tối thiểu tiếp theo từ trang (GetMinimumNextBid)
2. Clear input
3. Nhập giá = giá tối thiểu - 1 (thấp hơn 1 đơn vị)
4. Click Chốt giá
5. Kiểm tra thông báo lỗi</t>
  </si>
  <si>
    <t>Input = GetMinimumNextBid() - 1
VD hiện tại: 1,899,999 VNĐ
(thấp hơn mức tối thiểu 1 đơn vị)</t>
  </si>
  <si>
    <t>Hiển thị lỗi 'Giá phải &gt;= [giá tối thiểu tiếp theo]', không submit</t>
  </si>
  <si>
    <t>EnterBidAmount(1800000)</t>
  </si>
  <si>
    <t>Giá lỗi tính động — không hardcode</t>
  </si>
  <si>
    <t>TC_009</t>
  </si>
  <si>
    <t>TC_010</t>
  </si>
  <si>
    <t>Nhập giá = 0</t>
  </si>
  <si>
    <t>1. Vào trang đấu giá
2. KHÔNG nhập gì (input đang = 0 mặc định)
3. Click 'Chốt giá ngay'
4. Kiểm tra phản hồi</t>
  </si>
  <si>
    <t>Input: 0 (mặc định, không thay đổi)</t>
  </si>
  <si>
    <t>Hiển thị lỗi validation 'Giá không hợp lệ' hoặc 'Giá phải &gt;= [tối thiểu]', không submit</t>
  </si>
  <si>
    <t>EnterBidAmount(0)</t>
  </si>
  <si>
    <t>0 là giá trị mặc định của input — test click thẳng mà không nhập gì</t>
  </si>
  <si>
    <t>TC_011</t>
  </si>
  <si>
    <t>Nhập giá âm</t>
  </si>
  <si>
    <t>1. Clear input
2. Nhập -100000
3. Click Chốt giá</t>
  </si>
  <si>
    <t>Input: -100000</t>
  </si>
  <si>
    <t>Hiển thị lỗi validation, không submit</t>
  </si>
  <si>
    <t>Low</t>
  </si>
  <si>
    <t>EnterBidAmount(-100000)</t>
  </si>
  <si>
    <t>Edge case</t>
  </si>
  <si>
    <t>📌 MODULE 3: ĐẶT GIÁ (CHỐT GIÁ NGAY)</t>
  </si>
  <si>
    <t>TC_012</t>
  </si>
  <si>
    <t>Đặt giá</t>
  </si>
  <si>
    <t>Đặt giá thành công với giá hợp lệ</t>
  </si>
  <si>
    <t>Đã đăng nhập, có đủ điều kiện tham gia, giá hợp lệ</t>
  </si>
  <si>
    <t>1. Lấy giá tối thiểu tiếp theo từ trang (GetMinimumNextBid)
2. Nhập đúng bằng giá tối thiểu tiếp theo
3. Click nút 'Chốt giá ngay'
4. Confirm dialog nếu có
5. Kiểm tra giá cao nhất đã cập nhật</t>
  </si>
  <si>
    <t>Bid = GetMinimumNextBid() lấy động
VD: 1,900,000 VNĐ</t>
  </si>
  <si>
    <t>Giá cao nhất cập nhật thành 2,000,000; lịch sử trả giá có thêm 1 dòng</t>
  </si>
  <si>
    <t>By.CssSelector("button.bid-btn")</t>
  </si>
  <si>
    <t>SubmitBid(2000000)</t>
  </si>
  <si>
    <t>Bid amount lấy động từ trang</t>
  </si>
  <si>
    <t>TC_013</t>
  </si>
  <si>
    <t>TC_014</t>
  </si>
  <si>
    <t>Nút Chốt giá disabled khi input trống</t>
  </si>
  <si>
    <t>1. Clear input giá
2. Kiểm tra trạng thái nút</t>
  </si>
  <si>
    <t>Input: rỗng</t>
  </si>
  <si>
    <t>Nút 'Chốt giá ngay' ở trạng thái disabled</t>
  </si>
  <si>
    <t>IsBidButtonEnabled()</t>
  </si>
  <si>
    <t>TC_015</t>
  </si>
  <si>
    <t>Đặt giá khi chưa đăng nhập</t>
  </si>
  <si>
    <t>1. Vào trang đấu giá
2. Nhập giá
3. Click Chốt giá</t>
  </si>
  <si>
    <t>User: chưa login</t>
  </si>
  <si>
    <t>Redirect đến trang đăng nhập hoặc hiển thị popup yêu cầu đăng nhập</t>
  </si>
  <si>
    <t>By.CssSelector(".login-modal")</t>
  </si>
  <si>
    <t>ClickBidWithoutLogin()</t>
  </si>
  <si>
    <t>Auth check</t>
  </si>
  <si>
    <t>📌 MODULE 4: LỊCH SỬ TRẢ GIÁ</t>
  </si>
  <si>
    <t>TC_016</t>
  </si>
  <si>
    <t>TC_017</t>
  </si>
  <si>
    <t>Lịch sử</t>
  </si>
  <si>
    <t>Người dẫn đầu được đánh dấu</t>
  </si>
  <si>
    <t>Có ít nhất 1 lượt trả giá</t>
  </si>
  <si>
    <t>1. Tìm dòng đầu trong lịch sử
2. Kiểm tra có badge 'Đang dẫn đầu'
3. Kiểm tra màu highlight</t>
  </si>
  <si>
    <t>User 1A đang dẫn đầu</t>
  </si>
  <si>
    <t>Dòng đầu có text 'Đang dẫn đầu', nền màu vàng/cam</t>
  </si>
  <si>
    <t>By.XPath("//div[contains(@class,'leading-bid')]")</t>
  </si>
  <si>
    <t>IsLeadingBidHighlighted()</t>
  </si>
  <si>
    <t>TC_018</t>
  </si>
  <si>
    <t>Format thời gian hiển thị đúng</t>
  </si>
  <si>
    <t>Có lịch sử trả giá</t>
  </si>
  <si>
    <t>1. Lấy text timestamp từ dòng lịch sử
2. Validate format HH:mm:ss DD/MM</t>
  </si>
  <si>
    <t>Timestamp: '11:20:03 24/05'</t>
  </si>
  <si>
    <t>Timestamp đúng format 'HH:mm:ss DD/MM'</t>
  </si>
  <si>
    <t>By.CssSelector(".bid-time")</t>
  </si>
  <si>
    <t>GetBidTimestamp()</t>
  </si>
  <si>
    <t>Regex validate</t>
  </si>
  <si>
    <t>TC_019</t>
  </si>
  <si>
    <t>Lịch sử cập nhật real-time sau khi có bid mới</t>
  </si>
  <si>
    <t>Trang đang mở, có thêm bid từ user khác</t>
  </si>
  <si>
    <t>1. Ghi lại số dòng lịch sử
2. Simulate/trigger bid mới
3. Đợi WebSocket/SSE
4. Kiểm tra</t>
  </si>
  <si>
    <t>Bid mới: 1,900,000 VNĐ</t>
  </si>
  <si>
    <t>Dòng mới xuất hiện không cần F5, giá và thứ tự cập nhật đúng</t>
  </si>
  <si>
    <t>By.CssSelector(".bid-history-row:first-child")</t>
  </si>
  <si>
    <t>WaitForNewBidEntry()</t>
  </si>
  <si>
    <t>Real-time test</t>
  </si>
  <si>
    <t>📌 MODULE 5: REAL-TIME &amp; CONCURRENT</t>
  </si>
  <si>
    <t>TC_020</t>
  </si>
  <si>
    <t>Real-time</t>
  </si>
  <si>
    <t>Giá cao nhất cập nhật real-time</t>
  </si>
  <si>
    <t>2 browser/tab mở cùng trang đấu giá</t>
  </si>
  <si>
    <t>1. Mở tab A và tab B
2. Tab B đặt giá mới
3. Kiểm tra tab A tự cập nhật</t>
  </si>
  <si>
    <t>Tab B bid: 2,100,000</t>
  </si>
  <si>
    <t>Tab A hiển thị 2,100,000 trong vòng 3 giây mà không reload</t>
  </si>
  <si>
    <t>TestRealTimeUpdate()</t>
  </si>
  <si>
    <t>Multi-driver test</t>
  </si>
  <si>
    <t>TC_021</t>
  </si>
  <si>
    <t>Xử lý đặt giá đồng thời (race condition)</t>
  </si>
  <si>
    <t>2 user đặt giá cùng lúc với cùng giá</t>
  </si>
  <si>
    <t>1. User A nhập 1,900,000
2. User B nhập 1,900,000
3. Cả 2 click submit gần như cùng lúc
4. Kiểm tra kết quả</t>
  </si>
  <si>
    <t>Cả 2 bid: 1,900,000</t>
  </si>
  <si>
    <t>Chỉ 1 bid được chấp nhận, 1 nhận thông báo lỗi 'Giá đã bị vượt qua'</t>
  </si>
  <si>
    <t>By.CssSelector(".error-msg")</t>
  </si>
  <si>
    <t>TestConcurrentBids()</t>
  </si>
  <si>
    <t>Parallel test</t>
  </si>
  <si>
    <t>TC_022</t>
  </si>
  <si>
    <t>Kết nối WebSocket không bị đứt</t>
  </si>
  <si>
    <t>Trang đang mở 5 phút</t>
  </si>
  <si>
    <t>1. Mở trang
2. Đợi 5 phút idle
3. Đặt giá mới
4. Kiểm tra real-time hoạt động</t>
  </si>
  <si>
    <t>Idle: 5 phút</t>
  </si>
  <si>
    <t>Real-time vẫn hoạt động, không cần reload</t>
  </si>
  <si>
    <t>By.CssSelector(".connection-status")</t>
  </si>
  <si>
    <t>TestWebSocketPersistence()</t>
  </si>
  <si>
    <t>Long-running test</t>
  </si>
  <si>
    <t>📌 MODULE 6: UI/UX &amp; RESPONSIVE</t>
  </si>
  <si>
    <t>TC_023</t>
  </si>
  <si>
    <t>UI/UX</t>
  </si>
  <si>
    <t>Màu sắc nút Chốt giá đúng theo design</t>
  </si>
  <si>
    <t>1. Tìm nút 'Chốt giá ngay'
2. Lấy CSS background-color
3. So sánh với màu thiết kế</t>
  </si>
  <si>
    <t>Expected: #F59E0B (amber/orange)</t>
  </si>
  <si>
    <t>Nút có màu nền orange/amber, text trắng</t>
  </si>
  <si>
    <t>GetButtonColor()</t>
  </si>
  <si>
    <t>CSS check</t>
  </si>
  <si>
    <t>TC_024</t>
  </si>
  <si>
    <t>Trang responsive trên mobile (375px)</t>
  </si>
  <si>
    <t>Resize browser về 375x812</t>
  </si>
  <si>
    <t>1. Set window size 375x812
2. Reload trang
3. Kiểm tra layout</t>
  </si>
  <si>
    <t>Viewport: 375x812</t>
  </si>
  <si>
    <t>Không có horizontal scroll, tất cả element hiển thị đầy đủ</t>
  </si>
  <si>
    <t>By.TagName("body")</t>
  </si>
  <si>
    <t>TestMobileLayout()</t>
  </si>
  <si>
    <t>TC_025</t>
  </si>
  <si>
    <t>Tooltip điều khoản đấu giá</t>
  </si>
  <si>
    <t>1. Tìm text 'Bằng cách đặt giá, bạn đồng ý với điều khoản đấu giá'
2. Kiểm tra hiển thị</t>
  </si>
  <si>
    <t>N/A</t>
  </si>
  <si>
    <t>Text điều khoản hiển thị bên dưới nút Chốt giá</t>
  </si>
  <si>
    <t>By.CssSelector(".terms-text")</t>
  </si>
  <si>
    <t>GetTermsText()</t>
  </si>
  <si>
    <t>Legal compliance</t>
  </si>
  <si>
    <t>📌 MODULE 7: UI CHI TIẾT TRANG ĐẤU GIÁ (từ giao diện thực)</t>
  </si>
  <si>
    <t>TC_UI01</t>
  </si>
  <si>
    <t>UI chi tiết</t>
  </si>
  <si>
    <t>Breadcrumb hiển thị đúng 'Trang chủ / [Tên sản phẩm]'</t>
  </si>
  <si>
    <t>Đã vào trang đấu giá sản phẩm</t>
  </si>
  <si>
    <t>1. Tìm element breadcrumb
2. Lấy text
3. Kiểm tra format 'Trang chủ / [tên]'
4. Kiểm tra 'Trang chủ' là link có thể click</t>
  </si>
  <si>
    <t>Breadcrumb: 'Trang chủ / C&amp;K'</t>
  </si>
  <si>
    <t>- Hiển thị đúng 'Trang chủ / [Tên sản phẩm]'
- 'Trang chủ' là link dẫn về trang chủ
- Tên sản phẩm khớp với tên hiển thị bên dưới ảnh</t>
  </si>
  <si>
    <t>By.CssSelector(".breadcrumb")</t>
  </si>
  <si>
    <t>GetBreadcrumbText()</t>
  </si>
  <si>
    <t>Dùng tên động từ trang</t>
  </si>
  <si>
    <t>TC_UI02</t>
  </si>
  <si>
    <t>Click 'Trang chủ' trên breadcrumb → về trang danh sách</t>
  </si>
  <si>
    <t>Đang ở trang đấu giá</t>
  </si>
  <si>
    <t>1. Click link 'Trang chủ' trên breadcrumb
2. Kiểm tra URL redirect
3. Kiểm tra trang danh sách load</t>
  </si>
  <si>
    <t>Click: 'Trang chủ'</t>
  </si>
  <si>
    <t>Redirect về http://localhost:4200, trang danh sách sản phẩm hiển thị</t>
  </si>
  <si>
    <t>By.CssSelector(".breadcrumb a:first-child")</t>
  </si>
  <si>
    <t>ClickBreadcrumbHome()</t>
  </si>
  <si>
    <t>TC_UI03</t>
  </si>
  <si>
    <t>Ảnh sản phẩm hiển thị đúng và có nút 'Click để phóng to'</t>
  </si>
  <si>
    <t>Đã vào trang đấu giá</t>
  </si>
  <si>
    <t>1. Kiểm tra ảnh sản phẩm load thành công
2. Hover chuột lên ảnh
3. Kiểm tra nút 'Click để phóng to' xuất hiện</t>
  </si>
  <si>
    <t>Ảnh sản phẩm C&amp;K (túi hồng)</t>
  </si>
  <si>
    <t>- Ảnh load thành công (không broken)
- Hover hiện tooltip/button 'Click để phóng to'
- Ảnh không bị stretch/distort</t>
  </si>
  <si>
    <t>By.CssSelector(".product-image img")</t>
  </si>
  <si>
    <t>VerifyProductImage()</t>
  </si>
  <si>
    <t>Kiểm tra naturalWidth &gt; 0</t>
  </si>
  <si>
    <t>TC_UI04</t>
  </si>
  <si>
    <t>Click 'Click để phóng to' → ảnh mở rộng/lightbox</t>
  </si>
  <si>
    <t>Đang hover trên ảnh</t>
  </si>
  <si>
    <t>1. Hover lên ảnh sản phẩm
2. Click nút 'Click để phóng to'
3. Kiểm tra lightbox/modal mở</t>
  </si>
  <si>
    <t>Click: nút phóng to</t>
  </si>
  <si>
    <t>Ảnh hiển thị full-size trong lightbox hoặc modal, có thể đóng lại</t>
  </si>
  <si>
    <t>By.CssSelector(".zoom-btn, .expand-btn")</t>
  </si>
  <si>
    <t>ClickZoomImage()</t>
  </si>
  <si>
    <t>TC_UI05</t>
  </si>
  <si>
    <t>Hint text 'Tối thiểu' bên dưới input hiển thị đúng giá tối thiểu</t>
  </si>
  <si>
    <t>1. Tìm text hint bên dưới input giá
2. Lấy giá trị số trong hint
3. So sánh với GetMinimumNextBid()</t>
  </si>
  <si>
    <t>Hint: 'Tối thiểu: 1,900,000 VNĐ' (dynamic)</t>
  </si>
  <si>
    <t>- Hint hiển thị 'Tối thiểu: [GetMinimumNextBid()] VNĐ'
- Giá trong hint = giá tối thiểu tiếp theo trên trang
- Format có dấu phẩy ngăn cách hàng nghìn</t>
  </si>
  <si>
    <t>By.CssSelector(".bid-hint, .min-label")</t>
  </si>
  <si>
    <t>GetBidHintText()</t>
  </si>
  <si>
    <t>Tách số từ text để so sánh</t>
  </si>
  <si>
    <t>TC_UI06</t>
  </si>
  <si>
    <t>Label 'Nhập giá của bạn (VNĐ)' hiển thị đúng</t>
  </si>
  <si>
    <t>1. Tìm label trên input giá
2. Lấy text
3. So sánh</t>
  </si>
  <si>
    <t>Label: 'Nhập giá của bạn (VNĐ)'</t>
  </si>
  <si>
    <t>Label hiển thị đúng text 'Nhập giá của bạn (VNĐ)'</t>
  </si>
  <si>
    <t>By.XPath("//label[contains(text(),'Nhập giá')]")</t>
  </si>
  <si>
    <t>GetBidInputLabel()</t>
  </si>
  <si>
    <t>TC_UI07</t>
  </si>
  <si>
    <t>Text điều khoản bên dưới nút Chốt giá hiển thị đúng</t>
  </si>
  <si>
    <t>1. Tìm text bên dưới nút 'Chốt giá ngay'
2. Lấy nội dung
3. Kiểm tra nội dung đúng</t>
  </si>
  <si>
    <t>Text: 'Bằng cách đặt giá, bạn đồng ý với điều khoản đấu giá'</t>
  </si>
  <si>
    <t>Hiển thị đúng text điều khoản bên dưới nút Chốt giá</t>
  </si>
  <si>
    <t>Legal compliance check</t>
  </si>
  <si>
    <t>TC_UI08</t>
  </si>
  <si>
    <t>Tên sản phẩm và mô tả hiển thị đúng</t>
  </si>
  <si>
    <t>1. Lấy text tên sản phẩm (phần dưới ảnh)
2. Lấy text mô tả
3. Kiểm tra khớp với dữ liệu sản phẩm</t>
  </si>
  <si>
    <t>Tên: 'C&amp;K'
Mô tả: 'Chưa có mô tả.'</t>
  </si>
  <si>
    <t>- Tên sản phẩm hiển thị đúng
- Mô tả hiển thị đúng (kể cả 'Chưa có mô tả.' nếu chưa có)</t>
  </si>
  <si>
    <t>By.CssSelector(".product-title, .product-desc")</t>
  </si>
  <si>
    <t>GetProductInfo()</t>
  </si>
  <si>
    <t>Lấy tên động từ API/DB</t>
  </si>
  <si>
    <t>TC_UI09</t>
  </si>
  <si>
    <t>Giá khởi điểm và bước giá hiển thị đúng vị trí (bottom-left)</t>
  </si>
  <si>
    <t>1. Tìm section 'GIÁ KHỞI ĐIỂM'
2. Tìm section 'BƯỚC GIÁ'
3. Kiểm tra vị trí (cùng hàng, dưới ảnh)
4. Kiểm tra giá trị</t>
  </si>
  <si>
    <t>Khởi điểm: 1,500,000 VNĐ
Bước giá: 100,000 VNĐ</t>
  </si>
  <si>
    <t>- Hai label nằm cùng hàng bên dưới ảnh
- Giá khởi điểm = 1,500,000 VNĐ (hoặc động từ DB)
- Bước giá = 100,000 VNĐ (hoặc động từ DB)
- Có chữ 'VNĐ' đi kèm</t>
  </si>
  <si>
    <t>By.CssSelector(".start-price, .bid-step")</t>
  </si>
  <si>
    <t>GetAuctionMeta()</t>
  </si>
  <si>
    <t>Lấy giá trị động</t>
  </si>
  <si>
    <t>TC_UI10</t>
  </si>
  <si>
    <t>Số 'VNĐ' nhỏ hiển thị bên dưới giá cao nhất</t>
  </si>
  <si>
    <t>1. Tìm element giá cao nhất
2. Kiểm tra có sub-text 'VNĐ' bên dưới
3. Kiểm tra style phân biệt với con số chính</t>
  </si>
  <si>
    <t>Sub-label: 'VNĐ'</t>
  </si>
  <si>
    <t>Text 'VNĐ' hiển thị nhỏ hơn, bên dưới số giá lớn màu vàng</t>
  </si>
  <si>
    <t>By.CssSelector(".currency-label")</t>
  </si>
  <si>
    <t>GetCurrencyLabel()</t>
  </si>
  <si>
    <t>UI detail check</t>
  </si>
  <si>
    <t>TEST DATA – Đấu Giá Real-Time</t>
  </si>
  <si>
    <t>Variable</t>
  </si>
  <si>
    <t>Value</t>
  </si>
  <si>
    <t>Description</t>
  </si>
  <si>
    <t>Used In TC</t>
  </si>
  <si>
    <t>Data Type</t>
  </si>
  <si>
    <t>Valid?</t>
  </si>
  <si>
    <t>BASE_URL</t>
  </si>
  <si>
    <t>http://localhost:4200</t>
  </si>
  <si>
    <t>URL trang đấu giá</t>
  </si>
  <si>
    <t>All TCs</t>
  </si>
  <si>
    <t>String</t>
  </si>
  <si>
    <t>Yes</t>
  </si>
  <si>
    <t>Thay bằng URL thật</t>
  </si>
  <si>
    <t>AUCTION_ID</t>
  </si>
  <si>
    <t>[Lấy động sau khi click sản phẩm]</t>
  </si>
  <si>
    <t>UUID lấy từ URL sau khi click vào sản phẩm bất kỳ</t>
  </si>
  <si>
    <t>String (UUID v4)</t>
  </si>
  <si>
    <t>KHÔNG hardcode — đọc từ driver.Url bằng regex</t>
  </si>
  <si>
    <t>AUCTION_URL</t>
  </si>
  <si>
    <t>http://localhost:4200/auction/{auctionId}</t>
  </si>
  <si>
    <t>URL động, auctionId lấy từ runtime</t>
  </si>
  <si>
    <t>String (URL)</t>
  </si>
  <si>
    <t>STARTING_PRICE</t>
  </si>
  <si>
    <t>1500000</t>
  </si>
  <si>
    <t>Giá khởi điểm (VNĐ)</t>
  </si>
  <si>
    <t>Integer</t>
  </si>
  <si>
    <t>BID_STEP</t>
  </si>
  <si>
    <t>100000</t>
  </si>
  <si>
    <t>Bước giá (VNĐ)</t>
  </si>
  <si>
    <t>TC_003,007</t>
  </si>
  <si>
    <t>CURRENT_HIGHEST</t>
  </si>
  <si>
    <t>1800000</t>
  </si>
  <si>
    <t>Giá cao nhất hiện tại</t>
  </si>
  <si>
    <t>MIN_NEXT_BID</t>
  </si>
  <si>
    <t>1900000</t>
  </si>
  <si>
    <t>Giá tối thiểu tiếp theo</t>
  </si>
  <si>
    <t>TC_003,006</t>
  </si>
  <si>
    <t>VALID_BID_1</t>
  </si>
  <si>
    <t>2000000</t>
  </si>
  <si>
    <t>Bid hợp lệ #1</t>
  </si>
  <si>
    <t>TC_007,012</t>
  </si>
  <si>
    <t>VALID_BID_2</t>
  </si>
  <si>
    <t>2100000</t>
  </si>
  <si>
    <t>Bid hợp lệ #2 (cao hơn)</t>
  </si>
  <si>
    <t>INVALID_BID_LOW</t>
  </si>
  <si>
    <t>Bid thấp hơn tối thiểu</t>
  </si>
  <si>
    <t>No</t>
  </si>
  <si>
    <t>INVALID_BID_ZERO</t>
  </si>
  <si>
    <t>0</t>
  </si>
  <si>
    <t>Bid = 0</t>
  </si>
  <si>
    <t>INVALID_BID_NEG</t>
  </si>
  <si>
    <t>-100000</t>
  </si>
  <si>
    <t>Bid âm</t>
  </si>
  <si>
    <t>INVALID_BID_STR</t>
  </si>
  <si>
    <t>abc123</t>
  </si>
  <si>
    <t>Bid không phải số</t>
  </si>
  <si>
    <t>USERNAME_VALID</t>
  </si>
  <si>
    <t>testuser@email.com</t>
  </si>
  <si>
    <t>Tài khoản test hợp lệ</t>
  </si>
  <si>
    <t>TC_012,015</t>
  </si>
  <si>
    <t>PASSWORD_VALID</t>
  </si>
  <si>
    <t>Test@12345</t>
  </si>
  <si>
    <t>Mật khẩu hợp lệ</t>
  </si>
  <si>
    <t>TOTAL_BIDS</t>
  </si>
  <si>
    <t>3</t>
  </si>
  <si>
    <t>Tổng lượt trả giá hiện tại</t>
  </si>
  <si>
    <t>TC_004,016</t>
  </si>
  <si>
    <t>TIMEOUT_SECONDS</t>
  </si>
  <si>
    <t>10</t>
  </si>
  <si>
    <t>Timeout cho WebDriver Wait</t>
  </si>
  <si>
    <t>REALTIME_WAIT</t>
  </si>
  <si>
    <t>Giây chờ update real-time</t>
  </si>
  <si>
    <t>TC_019,020</t>
  </si>
  <si>
    <t>MOBILE_WIDTH</t>
  </si>
  <si>
    <t>MOBILE_HEIGHT</t>
  </si>
  <si>
    <t>812</t>
  </si>
  <si>
    <t>Chiều cao viewport mobile</t>
  </si>
  <si>
    <t>── Login Test Data ──</t>
  </si>
  <si>
    <t>BUYER_EMAIL</t>
  </si>
  <si>
    <t>buyer@email.com</t>
  </si>
  <si>
    <t>Email tài khoản buyer</t>
  </si>
  <si>
    <t>TC_L01,L02</t>
  </si>
  <si>
    <t>Thay bằng account thật</t>
  </si>
  <si>
    <t>BUYER_PASSWORD</t>
  </si>
  <si>
    <t>Buyer@12345</t>
  </si>
  <si>
    <t>Mật khẩu buyer</t>
  </si>
  <si>
    <t>SELLER_EMAIL</t>
  </si>
  <si>
    <t>seller@email.com</t>
  </si>
  <si>
    <t>Email tài khoản seller</t>
  </si>
  <si>
    <t>Role không được đấu giá</t>
  </si>
  <si>
    <t>SELLER_PASSWORD</t>
  </si>
  <si>
    <t>Seller@12345</t>
  </si>
  <si>
    <t>Mật khẩu seller</t>
  </si>
  <si>
    <t>WRONG_PASSWORD</t>
  </si>
  <si>
    <t>WrongPass123</t>
  </si>
  <si>
    <t>Mật khẩu sai</t>
  </si>
  <si>
    <t>NONEXIST_EMAIL</t>
  </si>
  <si>
    <t>notexist@email.com</t>
  </si>
  <si>
    <t>Email không tồn tại</t>
  </si>
  <si>
    <t>LOGIN_URL</t>
  </si>
  <si>
    <t>/login</t>
  </si>
  <si>
    <t>URL trang đăng nhập</t>
  </si>
  <si>
    <t>TC_L01–L06</t>
  </si>
  <si>
    <t>C# SELENIUM METHOD REFERENCE</t>
  </si>
  <si>
    <t>Method Name</t>
  </si>
  <si>
    <t>Signature (C#)</t>
  </si>
  <si>
    <t>TC IDs</t>
  </si>
  <si>
    <t>NavigateToAuction</t>
  </si>
  <si>
    <t>string ClickAnyProductAndGetAuctionId()
// var card = driver.FindElements(By.CssSelector(".auction-item"))[0];
// card.Click();
// var url = driver.Url; // http://localhost:4200/auction/{uuid}
// return Regex.Match(url, @"auction/([\w-]+)").Groups[1].Value;</t>
  </si>
  <si>
    <t>Click vào sản phẩm bất kỳ trong danh sách, trả về auctionId động từ URL. Dùng làm input cho tất cả các TC còn lại trong test run.</t>
  </si>
  <si>
    <t>TC_001, All TCs</t>
  </si>
  <si>
    <t>ValidateAuctionUrl</t>
  </si>
  <si>
    <t>bool ValidateAuctionUrl(string url)
// var pattern = @"/auction/[a-f0-9]{8}-([a-f0-9]{4}-){3}[a-f0-9]{12}$";
// return Regex.IsMatch(url, pattern);</t>
  </si>
  <si>
    <t>Kiểm tra URL hiện tại đúng format UUID v4. Pass với MỌI sản phẩm hợp lệ, không phụ thuộc ID cụ thể.</t>
  </si>
  <si>
    <t>WaitForPageLoad</t>
  </si>
  <si>
    <t>void WaitForPageLoad(int timeoutSec=10)</t>
  </si>
  <si>
    <t>Chờ DOM + jQuery ready</t>
  </si>
  <si>
    <t>GetCurrentHighestBid</t>
  </si>
  <si>
    <t>decimal GetCurrentHighestBid()</t>
  </si>
  <si>
    <t>Lấy giá cao nhất hiện tại</t>
  </si>
  <si>
    <t>GetMinimumNextBid</t>
  </si>
  <si>
    <t>decimal GetMinimumNextBid()</t>
  </si>
  <si>
    <t>Lấy giá tối thiểu tiếp theo</t>
  </si>
  <si>
    <t>GetTotalBidCount</t>
  </si>
  <si>
    <t>int GetTotalBidCount()</t>
  </si>
  <si>
    <t>Đếm tổng lượt trả giá</t>
  </si>
  <si>
    <t>GetAuctionInfo</t>
  </si>
  <si>
    <t>AuctionInfo GetAuctionInfo()</t>
  </si>
  <si>
    <t>Lấy toàn bộ thông tin đấu giá</t>
  </si>
  <si>
    <t>GetBidInputValue</t>
  </si>
  <si>
    <t>string GetBidInputValue()</t>
  </si>
  <si>
    <t>Lấy giá trị trong input box</t>
  </si>
  <si>
    <t>EnterBidAmount</t>
  </si>
  <si>
    <t>void EnterBidAmount(object amount)</t>
  </si>
  <si>
    <t>Nhập giá vào input field</t>
  </si>
  <si>
    <t>TC_007–011</t>
  </si>
  <si>
    <t>IsBidButtonEnabled</t>
  </si>
  <si>
    <t>bool IsBidButtonEnabled()</t>
  </si>
  <si>
    <t>Kiểm tra nút submit enabled</t>
  </si>
  <si>
    <t>SubmitBid</t>
  </si>
  <si>
    <t>BidResult SubmitBid(decimal amount)</t>
  </si>
  <si>
    <t>Click Chốt giá và lấy kết quả</t>
  </si>
  <si>
    <t>TC_012,013</t>
  </si>
  <si>
    <t>ClickBidWithoutLogin</t>
  </si>
  <si>
    <t>void ClickBidWithoutLogin()</t>
  </si>
  <si>
    <t>Click bid khi chưa login</t>
  </si>
  <si>
    <t>GetBidHistoryRows</t>
  </si>
  <si>
    <t>List&lt;BidRow&gt; GetBidHistoryRows()</t>
  </si>
  <si>
    <t>Lấy danh sách lịch sử trả giá</t>
  </si>
  <si>
    <t>TC_016,017,018</t>
  </si>
  <si>
    <t>IsLeadingBidHighlighted</t>
  </si>
  <si>
    <t>bool IsLeadingBidHighlighted()</t>
  </si>
  <si>
    <t>Kiểm tra người dẫn đầu được highlight</t>
  </si>
  <si>
    <t>GetBidTimestamp</t>
  </si>
  <si>
    <t>string GetBidTimestamp(int rowIndex)</t>
  </si>
  <si>
    <t>Lấy timestamp của lượt trả giá</t>
  </si>
  <si>
    <t>WaitForNewBidEntry</t>
  </si>
  <si>
    <t>bool WaitForNewBidEntry(int prevCount, int timeout)</t>
  </si>
  <si>
    <t>Chờ lịch sử có thêm dòng mới</t>
  </si>
  <si>
    <t>TestRealTimeUpdate</t>
  </si>
  <si>
    <t>void TestRealTimeUpdate(IWebDriver driverA, IWebDriver driverB)</t>
  </si>
  <si>
    <t>Test real-time giữa 2 driver</t>
  </si>
  <si>
    <t>TestConcurrentBids</t>
  </si>
  <si>
    <t>void TestConcurrentBids()</t>
  </si>
  <si>
    <t>Test đặt giá đồng thời</t>
  </si>
  <si>
    <t>TestWebSocketPersistence</t>
  </si>
  <si>
    <t>bool TestWebSocketPersistence(int idleMinutes)</t>
  </si>
  <si>
    <t>Test WS sau idle time</t>
  </si>
  <si>
    <t>GetButtonColor</t>
  </si>
  <si>
    <t>string GetButtonColor(string cssSelector)</t>
  </si>
  <si>
    <t>Lấy CSS background-color</t>
  </si>
  <si>
    <t>TestMobileLayout</t>
  </si>
  <si>
    <t>GetTermsText</t>
  </si>
  <si>
    <t>string GetTermsText()</t>
  </si>
  <si>
    <t>Lấy text điều khoản</t>
  </si>
  <si>
    <t>── Login Methods ──</t>
  </si>
  <si>
    <t>LoginAsBuyer</t>
  </si>
  <si>
    <t>void LoginAsBuyer(string email, string password)</t>
  </si>
  <si>
    <t>Đăng nhập bằng tài khoản buyer, assert redirect thành công</t>
  </si>
  <si>
    <t>LoginWithInvalidCredentials</t>
  </si>
  <si>
    <t>void LoginWithInvalidCredentials(string email, string wrongPass)</t>
  </si>
  <si>
    <t>Đăng nhập sai password, assert error message</t>
  </si>
  <si>
    <t>LoginWithNonExistentEmail</t>
  </si>
  <si>
    <t>void LoginWithNonExistentEmail(string email, string pass)</t>
  </si>
  <si>
    <t>Đăng nhập email không tồn tại</t>
  </si>
  <si>
    <t>LoginAsSeller</t>
  </si>
  <si>
    <t>void LoginAsSeller(string email, string password)</t>
  </si>
  <si>
    <t>Đăng nhập seller, verify bị chặn đặt giá</t>
  </si>
  <si>
    <t>LogoutAndVerify</t>
  </si>
  <si>
    <t>void LogoutAndVerify()</t>
  </si>
  <si>
    <t>Logout và kiểm tra redirect về login khi thử đấu giá</t>
  </si>
  <si>
    <t>VerifySessionAfterReload</t>
  </si>
  <si>
    <t>bool VerifySessionAfterReload()</t>
  </si>
  <si>
    <t>Reload page và kiểm tra session còn hiệu lực</t>
  </si>
  <si>
    <t>Email: doanthiennhi210104@gmail.com
Pass: 1234N21@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</si>
</sst>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Calibri"/>
      <family val="2"/>
      <scheme val="minor"/>
    </font>
    <font>
      <b/>
      <sz val="14"/>
      <color rgb="FFFFFFFF"/>
      <name val="Arial"/>
      <family val="2"/>
    </font>
    <font>
      <sz val="9"/>
      <color rgb="FF9CA3AF"/>
      <name val="Arial"/>
      <family val="2"/>
    </font>
    <font>
      <b/>
      <sz val="10"/>
      <color rgb="FFF59E0B"/>
      <name val="Arial"/>
      <family val="2"/>
    </font>
    <font>
      <b/>
      <sz val="10"/>
      <color rgb="FF1F2937"/>
      <name val="Arial"/>
      <family val="2"/>
    </font>
    <font>
      <sz val="10"/>
      <color rgb="FF000000"/>
      <name val="Arial"/>
      <family val="2"/>
    </font>
    <font>
      <b/>
      <sz val="10"/>
      <color rgb="FF000000"/>
      <name val="Arial"/>
      <family val="2"/>
    </font>
    <font>
      <b/>
      <sz val="10"/>
      <color rgb="FFD97706"/>
      <name val="Arial"/>
      <family val="2"/>
    </font>
    <font>
      <sz val="10"/>
      <color rgb="FF7C3AED"/>
      <name val="Arial"/>
      <family val="2"/>
    </font>
    <font>
      <sz val="10"/>
      <color rgb="FF065F46"/>
      <name val="Arial"/>
      <family val="2"/>
    </font>
    <font>
      <sz val="10"/>
      <color rgb="FF6B7280"/>
      <name val="Arial"/>
      <family val="2"/>
    </font>
    <font>
      <b/>
      <sz val="10"/>
      <color rgb="FF2563EB"/>
      <name val="Arial"/>
      <family val="2"/>
    </font>
    <font>
      <b/>
      <sz val="10"/>
      <color rgb="FF6B7280"/>
      <name val="Arial"/>
      <family val="2"/>
    </font>
    <font>
      <b/>
      <sz val="10"/>
      <color rgb="FFDC2626"/>
      <name val="Arial"/>
      <family val="2"/>
    </font>
    <font>
      <b/>
      <sz val="13"/>
      <color rgb="FFFFFFFF"/>
      <name val="Arial"/>
      <family val="2"/>
    </font>
    <font>
      <sz val="10"/>
      <name val="Arial"/>
      <family val="2"/>
    </font>
    <font>
      <b/>
      <sz val="13"/>
      <color rgb="FFFFFFFF"/>
      <name val="Consolas"/>
      <family val="3"/>
    </font>
    <font>
      <sz val="10"/>
      <color rgb="FF1F2937"/>
      <name val="Arial"/>
      <family val="2"/>
    </font>
    <font>
      <sz val="9"/>
      <color rgb="FF7C3AED"/>
      <name val="Consolas"/>
      <family val="3"/>
    </font>
  </fonts>
  <fills count="2">
    <fill>
      <patternFill patternType="none"/>
    </fill>
    <fill>
      <patternFill patternType="gray125"/>
    </fill>
  </fills>
  <borders count="1">
    <border>
      <left/>
      <right/>
      <top/>
      <bottom/>
      <diagonal/>
    </border>
  </borders>
  <cellStyleXfs count="1">
    <xf numFmtId="0" fontId="0" fillId="0" borderId="0"/>
  </cellStyleXfs>
  <cellXfs count="27">
    <xf numFmtId="0" fontId="0" fillId="0" borderId="0" xfId="0"/>
    <xf numFmtId="0" fontId="3" fillId="0" borderId="0" xfId="0" applyFont="1" applyAlignment="1">
      <alignment horizontal="center" vertical="center" wrapText="1"/>
    </xf>
    <xf numFmtId="0" fontId="3" fillId="0" borderId="0" xfId="0" applyFont="1" applyAlignment="1">
      <alignment horizontal="left" vertical="center"/>
    </xf>
    <xf numFmtId="0" fontId="4" fillId="0" borderId="0" xfId="0" applyFont="1" applyAlignment="1">
      <alignment horizontal="center" vertical="center" wrapText="1"/>
    </xf>
    <xf numFmtId="0" fontId="5" fillId="0" borderId="0" xfId="0" applyFont="1" applyAlignment="1">
      <alignment horizontal="left" vertical="center" wrapText="1"/>
    </xf>
    <xf numFmtId="0" fontId="6" fillId="0" borderId="0" xfId="0" applyFont="1" applyAlignment="1">
      <alignment horizontal="left" vertical="center" wrapText="1"/>
    </xf>
    <xf numFmtId="0" fontId="5" fillId="0" borderId="0" xfId="0" applyFont="1" applyAlignment="1">
      <alignment horizontal="center" vertical="center" wrapText="1"/>
    </xf>
    <xf numFmtId="0" fontId="7" fillId="0" borderId="0" xfId="0" applyFont="1" applyAlignment="1">
      <alignment horizontal="center" vertical="center" wrapText="1"/>
    </xf>
    <xf numFmtId="0" fontId="8" fillId="0" borderId="0" xfId="0" applyFont="1" applyAlignment="1">
      <alignment horizontal="left" vertical="center" wrapText="1"/>
    </xf>
    <xf numFmtId="0" fontId="9" fillId="0" borderId="0" xfId="0" applyFont="1" applyAlignment="1">
      <alignment horizontal="left" vertical="center" wrapText="1"/>
    </xf>
    <xf numFmtId="0" fontId="10" fillId="0" borderId="0" xfId="0" applyFont="1" applyAlignment="1">
      <alignment horizontal="left" vertical="center" wrapText="1"/>
    </xf>
    <xf numFmtId="0" fontId="11" fillId="0" borderId="0" xfId="0" applyFont="1" applyAlignment="1">
      <alignment horizontal="center" vertical="center" wrapText="1"/>
    </xf>
    <xf numFmtId="0" fontId="12" fillId="0" borderId="0" xfId="0" applyFont="1" applyAlignment="1">
      <alignment horizontal="center" vertical="center" wrapText="1"/>
    </xf>
    <xf numFmtId="0" fontId="13" fillId="0" borderId="0" xfId="0" applyFont="1" applyAlignment="1">
      <alignment horizontal="center" vertical="center" wrapText="1"/>
    </xf>
    <xf numFmtId="0" fontId="15" fillId="0" borderId="0" xfId="0" applyFont="1" applyAlignment="1">
      <alignment horizontal="left" vertical="center"/>
    </xf>
    <xf numFmtId="0" fontId="17" fillId="0" borderId="0" xfId="0" applyFont="1" applyAlignment="1">
      <alignment horizontal="left" vertical="center" wrapText="1"/>
    </xf>
    <xf numFmtId="0" fontId="18" fillId="0" borderId="0" xfId="0" applyFont="1" applyAlignment="1">
      <alignment horizontal="left" vertical="center" wrapText="1"/>
    </xf>
    <xf numFmtId="0" fontId="15" fillId="0" borderId="0" xfId="0" applyFont="1" applyAlignment="1">
      <alignment horizontal="left" vertical="center" wrapText="1"/>
    </xf>
    <xf numFmtId="0" fontId="4" fillId="0" borderId="0" xfId="0" applyFont="1" applyAlignment="1">
      <alignment horizontal="center" vertical="center" wrapText="1"/>
    </xf>
    <xf numFmtId="0" fontId="0" fillId="0" borderId="0" xfId="0"/>
    <xf numFmtId="0" fontId="3" fillId="0" borderId="0" xfId="0" applyFont="1" applyAlignment="1">
      <alignment horizontal="left" vertical="center"/>
    </xf>
    <xf numFmtId="0" fontId="2" fillId="0" borderId="0" xfId="0" applyFont="1" applyAlignment="1">
      <alignment horizontal="center" vertical="center"/>
    </xf>
    <xf numFmtId="0" fontId="1" fillId="0" borderId="0" xfId="0" applyFont="1" applyAlignment="1">
      <alignment horizontal="center" vertical="center"/>
    </xf>
    <xf numFmtId="0" fontId="15" fillId="0" borderId="0" xfId="0" applyFont="1" applyAlignment="1">
      <alignment horizontal="left" vertical="center"/>
    </xf>
    <xf numFmtId="0" fontId="14" fillId="0" borderId="0" xfId="0" applyFont="1" applyAlignment="1">
      <alignment horizontal="center" vertical="center"/>
    </xf>
    <xf numFmtId="0" fontId="16" fillId="0" borderId="0" xfId="0" applyFont="1" applyAlignment="1">
      <alignment horizontal="center" vertical="center"/>
    </xf>
    <xf numFmtId="0" fontId="17" fillId="0" borderId="0" xfId="0" applyFont="1" applyAlignment="1">
      <alignment horizontal="left"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48"/>
  <sheetViews>
    <sheetView tabSelected="1" workbookViewId="0">
      <pane ySplit="3" topLeftCell="A39" activePane="bottomLeft" state="frozen"/>
      <selection pane="bottomLeft" activeCell="F6" sqref="F6"/>
    </sheetView>
  </sheetViews>
  <sheetFormatPr defaultRowHeight="14.4" x14ac:dyDescent="0.3"/>
  <cols>
    <col min="1" max="1" width="10" customWidth="1"/>
    <col min="2" max="2" width="18" customWidth="1"/>
    <col min="3" max="3" width="30" customWidth="1"/>
    <col min="4" max="4" width="28" customWidth="1"/>
    <col min="5" max="5" width="42" customWidth="1"/>
    <col min="6" max="6" width="28" customWidth="1"/>
    <col min="7" max="7" width="38" customWidth="1"/>
    <col min="8" max="8" width="20" customWidth="1"/>
    <col min="9" max="9" width="12" customWidth="1"/>
    <col min="10" max="10" width="10" customWidth="1"/>
    <col min="11" max="11" width="40" customWidth="1"/>
    <col min="12" max="12" width="32" customWidth="1"/>
    <col min="13" max="13" width="22" customWidth="1"/>
    <col min="14" max="14" width="12" customWidth="1"/>
  </cols>
  <sheetData>
    <row r="1" spans="1:14" ht="36" customHeight="1" x14ac:dyDescent="0.3">
      <c r="A1" s="22" t="s">
        <v>0</v>
      </c>
      <c r="B1" s="19"/>
      <c r="C1" s="19"/>
      <c r="D1" s="19"/>
      <c r="E1" s="19"/>
      <c r="F1" s="19"/>
      <c r="G1" s="19"/>
      <c r="H1" s="19"/>
      <c r="I1" s="19"/>
      <c r="J1" s="19"/>
      <c r="K1" s="19"/>
      <c r="L1" s="19"/>
      <c r="M1" s="19"/>
      <c r="N1" s="19"/>
    </row>
    <row r="2" spans="1:14" x14ac:dyDescent="0.3">
      <c r="A2" s="21" t="s">
        <v>1</v>
      </c>
      <c r="B2" s="19"/>
      <c r="C2" s="19"/>
      <c r="D2" s="19"/>
      <c r="E2" s="19"/>
      <c r="F2" s="19"/>
      <c r="G2" s="19"/>
      <c r="H2" s="19"/>
      <c r="I2" s="19"/>
      <c r="J2" s="19"/>
      <c r="K2" s="19"/>
      <c r="L2" s="19"/>
      <c r="M2" s="19"/>
      <c r="N2" s="19"/>
    </row>
    <row r="3" spans="1:14" ht="30" customHeight="1" x14ac:dyDescent="0.3">
      <c r="A3" s="1" t="s">
        <v>2</v>
      </c>
      <c r="B3" s="1" t="s">
        <v>3</v>
      </c>
      <c r="C3" s="1" t="s">
        <v>4</v>
      </c>
      <c r="D3" s="1" t="s">
        <v>5</v>
      </c>
      <c r="E3" s="1" t="s">
        <v>6</v>
      </c>
      <c r="F3" s="1" t="s">
        <v>7</v>
      </c>
      <c r="G3" s="1" t="s">
        <v>8</v>
      </c>
      <c r="H3" s="1" t="s">
        <v>9</v>
      </c>
      <c r="I3" s="1" t="s">
        <v>10</v>
      </c>
      <c r="J3" s="1" t="s">
        <v>11</v>
      </c>
      <c r="K3" s="1" t="s">
        <v>12</v>
      </c>
      <c r="L3" s="1" t="s">
        <v>13</v>
      </c>
      <c r="M3" s="1" t="s">
        <v>14</v>
      </c>
      <c r="N3" s="1" t="s">
        <v>15</v>
      </c>
    </row>
    <row r="4" spans="1:14" ht="22.05" customHeight="1" x14ac:dyDescent="0.3">
      <c r="A4" s="20" t="s">
        <v>16</v>
      </c>
      <c r="B4" s="19"/>
      <c r="C4" s="19"/>
      <c r="D4" s="19"/>
      <c r="E4" s="19"/>
      <c r="F4" s="19"/>
      <c r="G4" s="19"/>
      <c r="H4" s="19"/>
      <c r="I4" s="19"/>
      <c r="J4" s="19"/>
      <c r="K4" s="19"/>
      <c r="L4" s="19"/>
      <c r="M4" s="19"/>
      <c r="N4" s="19"/>
    </row>
    <row r="5" spans="1:14" ht="52.05" customHeight="1" x14ac:dyDescent="0.3">
      <c r="A5" s="3" t="s">
        <v>17</v>
      </c>
      <c r="B5" s="4" t="s">
        <v>18</v>
      </c>
      <c r="C5" s="5" t="s">
        <v>19</v>
      </c>
      <c r="D5" s="4" t="s">
        <v>20</v>
      </c>
      <c r="E5" s="4" t="s">
        <v>21</v>
      </c>
      <c r="F5" s="4" t="s">
        <v>501</v>
      </c>
      <c r="G5" s="4" t="s">
        <v>22</v>
      </c>
      <c r="H5" s="4"/>
      <c r="I5" s="6" t="s">
        <v>23</v>
      </c>
      <c r="J5" s="13" t="s">
        <v>24</v>
      </c>
      <c r="K5" s="8" t="s">
        <v>25</v>
      </c>
      <c r="L5" s="9" t="s">
        <v>26</v>
      </c>
      <c r="M5" s="10" t="s">
        <v>27</v>
      </c>
      <c r="N5" s="6" t="s">
        <v>28</v>
      </c>
    </row>
    <row r="6" spans="1:14" ht="52.05" customHeight="1" x14ac:dyDescent="0.3"/>
    <row r="7" spans="1:14" ht="52.05" customHeight="1" x14ac:dyDescent="0.3">
      <c r="A7" s="2" t="s">
        <v>37</v>
      </c>
    </row>
    <row r="8" spans="1:14" ht="52.05" customHeight="1" x14ac:dyDescent="0.3">
      <c r="A8" s="3" t="s">
        <v>38</v>
      </c>
      <c r="B8" s="4" t="s">
        <v>39</v>
      </c>
      <c r="C8" s="5" t="s">
        <v>40</v>
      </c>
      <c r="D8" s="4" t="s">
        <v>41</v>
      </c>
      <c r="E8" s="4" t="s">
        <v>42</v>
      </c>
      <c r="F8" s="4" t="s">
        <v>43</v>
      </c>
      <c r="G8" s="4" t="s">
        <v>44</v>
      </c>
      <c r="H8" s="4"/>
      <c r="I8" s="6" t="s">
        <v>23</v>
      </c>
      <c r="J8" s="7" t="s">
        <v>30</v>
      </c>
      <c r="K8" s="8" t="s">
        <v>45</v>
      </c>
      <c r="L8" s="9" t="s">
        <v>46</v>
      </c>
      <c r="M8" s="10" t="s">
        <v>47</v>
      </c>
      <c r="N8" s="6" t="s">
        <v>28</v>
      </c>
    </row>
    <row r="9" spans="1:14" ht="52.05" customHeight="1" x14ac:dyDescent="0.3">
      <c r="A9" s="3" t="s">
        <v>48</v>
      </c>
      <c r="B9" s="4" t="s">
        <v>39</v>
      </c>
      <c r="C9" s="5" t="s">
        <v>49</v>
      </c>
      <c r="D9" s="4" t="s">
        <v>50</v>
      </c>
      <c r="E9" s="4" t="s">
        <v>51</v>
      </c>
      <c r="F9" s="4" t="s">
        <v>52</v>
      </c>
      <c r="G9" s="4" t="s">
        <v>53</v>
      </c>
      <c r="H9" s="4"/>
      <c r="I9" s="6" t="s">
        <v>23</v>
      </c>
      <c r="J9" s="7" t="s">
        <v>30</v>
      </c>
      <c r="K9" s="8" t="s">
        <v>54</v>
      </c>
      <c r="L9" s="9" t="s">
        <v>55</v>
      </c>
      <c r="M9" s="10" t="s">
        <v>56</v>
      </c>
      <c r="N9" s="6" t="s">
        <v>28</v>
      </c>
    </row>
    <row r="10" spans="1:14" ht="52.05" customHeight="1" x14ac:dyDescent="0.3">
      <c r="A10" s="3" t="s">
        <v>57</v>
      </c>
      <c r="B10" s="4" t="s">
        <v>39</v>
      </c>
      <c r="C10" s="5" t="s">
        <v>58</v>
      </c>
      <c r="D10" s="4" t="s">
        <v>59</v>
      </c>
      <c r="E10" s="4" t="s">
        <v>60</v>
      </c>
      <c r="F10" s="4" t="s">
        <v>61</v>
      </c>
      <c r="G10" s="4" t="s">
        <v>62</v>
      </c>
      <c r="H10" s="4"/>
      <c r="I10" s="6" t="s">
        <v>23</v>
      </c>
      <c r="J10" s="7" t="s">
        <v>30</v>
      </c>
      <c r="K10" s="8" t="s">
        <v>63</v>
      </c>
      <c r="L10" s="9" t="s">
        <v>64</v>
      </c>
      <c r="M10" s="10" t="e">
        <f>CurrentBid + BidStep</f>
        <v>#NAME?</v>
      </c>
      <c r="N10" s="6" t="s">
        <v>28</v>
      </c>
    </row>
    <row r="11" spans="1:14" ht="52.05" customHeight="1" x14ac:dyDescent="0.3">
      <c r="A11" s="3" t="s">
        <v>65</v>
      </c>
      <c r="B11" s="4" t="s">
        <v>39</v>
      </c>
      <c r="C11" s="5" t="s">
        <v>66</v>
      </c>
      <c r="D11" s="4" t="s">
        <v>67</v>
      </c>
      <c r="E11" s="4" t="s">
        <v>68</v>
      </c>
      <c r="F11" s="4" t="s">
        <v>69</v>
      </c>
      <c r="G11" s="4" t="s">
        <v>70</v>
      </c>
      <c r="H11" s="4"/>
      <c r="I11" s="6" t="s">
        <v>23</v>
      </c>
      <c r="J11" s="11" t="s">
        <v>71</v>
      </c>
      <c r="K11" s="8" t="s">
        <v>72</v>
      </c>
      <c r="L11" s="9" t="s">
        <v>73</v>
      </c>
      <c r="M11" s="10"/>
      <c r="N11" s="6" t="s">
        <v>28</v>
      </c>
    </row>
    <row r="12" spans="1:14" ht="22.05" customHeight="1" x14ac:dyDescent="0.3">
      <c r="A12" s="18" t="s">
        <v>74</v>
      </c>
      <c r="B12" s="19"/>
      <c r="C12" s="19"/>
      <c r="D12" s="19"/>
      <c r="E12" s="19"/>
      <c r="F12" s="19"/>
      <c r="G12" s="19"/>
      <c r="H12" s="19"/>
      <c r="I12" s="19"/>
      <c r="J12" s="19"/>
      <c r="K12" s="19"/>
      <c r="L12" s="19"/>
      <c r="M12" s="19"/>
      <c r="N12" s="19"/>
    </row>
    <row r="13" spans="1:14" ht="52.05" customHeight="1" x14ac:dyDescent="0.3">
      <c r="A13" s="2" t="s">
        <v>75</v>
      </c>
    </row>
    <row r="14" spans="1:14" ht="52.05" customHeight="1" x14ac:dyDescent="0.3">
      <c r="A14" s="3" t="s">
        <v>76</v>
      </c>
      <c r="B14" s="4" t="s">
        <v>77</v>
      </c>
      <c r="C14" s="5" t="s">
        <v>78</v>
      </c>
      <c r="D14" s="4" t="s">
        <v>59</v>
      </c>
      <c r="E14" s="4" t="s">
        <v>79</v>
      </c>
      <c r="F14" s="4" t="s">
        <v>80</v>
      </c>
      <c r="G14" s="4" t="s">
        <v>81</v>
      </c>
      <c r="H14" s="4"/>
      <c r="I14" s="6" t="s">
        <v>23</v>
      </c>
      <c r="J14" s="7" t="s">
        <v>30</v>
      </c>
      <c r="K14" s="8" t="s">
        <v>82</v>
      </c>
      <c r="L14" s="9" t="s">
        <v>83</v>
      </c>
      <c r="M14" s="10" t="s">
        <v>84</v>
      </c>
      <c r="N14" s="6" t="s">
        <v>28</v>
      </c>
    </row>
    <row r="15" spans="1:14" ht="52.05" customHeight="1" x14ac:dyDescent="0.3">
      <c r="A15" s="3" t="s">
        <v>85</v>
      </c>
      <c r="B15" s="4" t="s">
        <v>77</v>
      </c>
      <c r="C15" s="5" t="s">
        <v>86</v>
      </c>
      <c r="D15" s="4" t="s">
        <v>87</v>
      </c>
      <c r="E15" s="4" t="s">
        <v>88</v>
      </c>
      <c r="F15" s="4" t="s">
        <v>89</v>
      </c>
      <c r="G15" s="4" t="s">
        <v>90</v>
      </c>
      <c r="H15" s="4"/>
      <c r="I15" s="6" t="s">
        <v>23</v>
      </c>
      <c r="J15" s="7" t="s">
        <v>30</v>
      </c>
      <c r="K15" s="8" t="s">
        <v>91</v>
      </c>
      <c r="L15" s="9" t="s">
        <v>92</v>
      </c>
      <c r="M15" s="10" t="s">
        <v>93</v>
      </c>
      <c r="N15" s="6" t="s">
        <v>28</v>
      </c>
    </row>
    <row r="16" spans="1:14" ht="52.05" customHeight="1" x14ac:dyDescent="0.3">
      <c r="A16" s="3" t="s">
        <v>94</v>
      </c>
      <c r="B16" s="4" t="s">
        <v>77</v>
      </c>
      <c r="C16" s="5" t="s">
        <v>95</v>
      </c>
      <c r="D16" s="4" t="s">
        <v>87</v>
      </c>
      <c r="E16" s="4" t="s">
        <v>96</v>
      </c>
      <c r="F16" s="4" t="s">
        <v>97</v>
      </c>
      <c r="G16" s="4" t="s">
        <v>98</v>
      </c>
      <c r="H16" s="4"/>
      <c r="I16" s="6" t="s">
        <v>23</v>
      </c>
      <c r="J16" s="7" t="s">
        <v>30</v>
      </c>
      <c r="K16" s="8" t="s">
        <v>91</v>
      </c>
      <c r="L16" s="9" t="s">
        <v>99</v>
      </c>
      <c r="M16" s="10" t="s">
        <v>100</v>
      </c>
      <c r="N16" s="6" t="s">
        <v>28</v>
      </c>
    </row>
    <row r="17" spans="1:14" ht="22.05" customHeight="1" x14ac:dyDescent="0.3">
      <c r="A17" s="18" t="s">
        <v>101</v>
      </c>
      <c r="B17" s="19"/>
      <c r="C17" s="19"/>
      <c r="D17" s="19"/>
      <c r="E17" s="19"/>
      <c r="F17" s="19"/>
      <c r="G17" s="19"/>
      <c r="H17" s="19"/>
      <c r="I17" s="19"/>
      <c r="J17" s="19"/>
      <c r="K17" s="19"/>
      <c r="L17" s="19"/>
      <c r="M17" s="19"/>
      <c r="N17" s="19"/>
    </row>
    <row r="18" spans="1:14" ht="52.05" customHeight="1" x14ac:dyDescent="0.3">
      <c r="A18" s="3" t="s">
        <v>102</v>
      </c>
      <c r="B18" s="4" t="s">
        <v>77</v>
      </c>
      <c r="C18" s="5" t="s">
        <v>103</v>
      </c>
      <c r="D18" s="4" t="s">
        <v>87</v>
      </c>
      <c r="E18" s="4" t="s">
        <v>104</v>
      </c>
      <c r="F18" s="4" t="s">
        <v>105</v>
      </c>
      <c r="G18" s="4" t="s">
        <v>106</v>
      </c>
      <c r="H18" s="4"/>
      <c r="I18" s="6" t="s">
        <v>23</v>
      </c>
      <c r="J18" s="11" t="s">
        <v>71</v>
      </c>
      <c r="K18" s="8" t="s">
        <v>91</v>
      </c>
      <c r="L18" s="9" t="s">
        <v>107</v>
      </c>
      <c r="M18" s="10" t="s">
        <v>108</v>
      </c>
      <c r="N18" s="6" t="s">
        <v>28</v>
      </c>
    </row>
    <row r="19" spans="1:14" ht="52.05" customHeight="1" x14ac:dyDescent="0.3">
      <c r="A19" s="3" t="s">
        <v>109</v>
      </c>
      <c r="B19" s="4" t="s">
        <v>77</v>
      </c>
      <c r="C19" s="5" t="s">
        <v>110</v>
      </c>
      <c r="D19" s="4" t="s">
        <v>87</v>
      </c>
      <c r="E19" s="4" t="s">
        <v>111</v>
      </c>
      <c r="F19" s="4" t="s">
        <v>112</v>
      </c>
      <c r="G19" s="4" t="s">
        <v>113</v>
      </c>
      <c r="H19" s="4"/>
      <c r="I19" s="6" t="s">
        <v>23</v>
      </c>
      <c r="J19" s="12" t="s">
        <v>114</v>
      </c>
      <c r="K19" s="8" t="s">
        <v>91</v>
      </c>
      <c r="L19" s="9" t="s">
        <v>115</v>
      </c>
      <c r="M19" s="10" t="s">
        <v>116</v>
      </c>
      <c r="N19" s="6" t="s">
        <v>28</v>
      </c>
    </row>
    <row r="20" spans="1:14" ht="52.05" customHeight="1" x14ac:dyDescent="0.3">
      <c r="A20" s="2" t="s">
        <v>117</v>
      </c>
    </row>
    <row r="21" spans="1:14" ht="52.05" customHeight="1" x14ac:dyDescent="0.3">
      <c r="A21" s="3" t="s">
        <v>118</v>
      </c>
      <c r="B21" s="4" t="s">
        <v>119</v>
      </c>
      <c r="C21" s="5" t="s">
        <v>120</v>
      </c>
      <c r="D21" s="4" t="s">
        <v>121</v>
      </c>
      <c r="E21" s="4" t="s">
        <v>122</v>
      </c>
      <c r="F21" s="4" t="s">
        <v>123</v>
      </c>
      <c r="G21" s="4" t="s">
        <v>124</v>
      </c>
      <c r="H21" s="4"/>
      <c r="I21" s="6" t="s">
        <v>23</v>
      </c>
      <c r="J21" s="13" t="s">
        <v>24</v>
      </c>
      <c r="K21" s="8" t="s">
        <v>125</v>
      </c>
      <c r="L21" s="9" t="s">
        <v>126</v>
      </c>
      <c r="M21" s="10" t="s">
        <v>127</v>
      </c>
      <c r="N21" s="6" t="s">
        <v>28</v>
      </c>
    </row>
    <row r="22" spans="1:14" ht="22.05" customHeight="1" x14ac:dyDescent="0.3">
      <c r="A22" s="18" t="s">
        <v>128</v>
      </c>
      <c r="B22" s="19"/>
      <c r="C22" s="19"/>
      <c r="D22" s="19"/>
      <c r="E22" s="19"/>
      <c r="F22" s="19"/>
      <c r="G22" s="19"/>
      <c r="H22" s="19"/>
      <c r="I22" s="19"/>
      <c r="J22" s="19"/>
      <c r="K22" s="19"/>
      <c r="L22" s="19"/>
      <c r="M22" s="19"/>
      <c r="N22" s="19"/>
    </row>
    <row r="23" spans="1:14" ht="52.05" customHeight="1" x14ac:dyDescent="0.3">
      <c r="A23" s="3" t="s">
        <v>129</v>
      </c>
      <c r="B23" s="4" t="s">
        <v>119</v>
      </c>
      <c r="C23" s="5" t="s">
        <v>130</v>
      </c>
      <c r="D23" s="4" t="s">
        <v>59</v>
      </c>
      <c r="E23" s="4" t="s">
        <v>131</v>
      </c>
      <c r="F23" s="4" t="s">
        <v>132</v>
      </c>
      <c r="G23" s="4" t="s">
        <v>133</v>
      </c>
      <c r="H23" s="4"/>
      <c r="I23" s="6" t="s">
        <v>23</v>
      </c>
      <c r="J23" s="7" t="s">
        <v>30</v>
      </c>
      <c r="K23" s="8" t="s">
        <v>125</v>
      </c>
      <c r="L23" s="9" t="s">
        <v>134</v>
      </c>
      <c r="M23" s="10"/>
      <c r="N23" s="6" t="s">
        <v>28</v>
      </c>
    </row>
    <row r="24" spans="1:14" ht="52.05" customHeight="1" x14ac:dyDescent="0.3">
      <c r="A24" s="3" t="s">
        <v>135</v>
      </c>
      <c r="B24" s="4" t="s">
        <v>119</v>
      </c>
      <c r="C24" s="5" t="s">
        <v>136</v>
      </c>
      <c r="D24" s="4" t="s">
        <v>33</v>
      </c>
      <c r="E24" s="4" t="s">
        <v>137</v>
      </c>
      <c r="F24" s="4" t="s">
        <v>138</v>
      </c>
      <c r="G24" s="4" t="s">
        <v>139</v>
      </c>
      <c r="H24" s="4"/>
      <c r="I24" s="6" t="s">
        <v>23</v>
      </c>
      <c r="J24" s="13" t="s">
        <v>24</v>
      </c>
      <c r="K24" s="8" t="s">
        <v>140</v>
      </c>
      <c r="L24" s="9" t="s">
        <v>141</v>
      </c>
      <c r="M24" s="10" t="s">
        <v>142</v>
      </c>
      <c r="N24" s="6" t="s">
        <v>28</v>
      </c>
    </row>
    <row r="25" spans="1:14" ht="52.05" customHeight="1" x14ac:dyDescent="0.3">
      <c r="A25" s="2" t="s">
        <v>143</v>
      </c>
    </row>
    <row r="26" spans="1:14" ht="22.05" customHeight="1" x14ac:dyDescent="0.3">
      <c r="A26" s="18" t="s">
        <v>144</v>
      </c>
      <c r="B26" s="19"/>
      <c r="C26" s="19"/>
      <c r="D26" s="19"/>
      <c r="E26" s="19"/>
      <c r="F26" s="19"/>
      <c r="G26" s="19"/>
      <c r="H26" s="19"/>
      <c r="I26" s="19"/>
      <c r="J26" s="19"/>
      <c r="K26" s="19"/>
      <c r="L26" s="19"/>
      <c r="M26" s="19"/>
      <c r="N26" s="19"/>
    </row>
    <row r="27" spans="1:14" ht="52.05" customHeight="1" x14ac:dyDescent="0.3">
      <c r="A27" s="3" t="s">
        <v>145</v>
      </c>
      <c r="B27" s="4" t="s">
        <v>146</v>
      </c>
      <c r="C27" s="5" t="s">
        <v>147</v>
      </c>
      <c r="D27" s="4" t="s">
        <v>148</v>
      </c>
      <c r="E27" s="4" t="s">
        <v>149</v>
      </c>
      <c r="F27" s="4" t="s">
        <v>150</v>
      </c>
      <c r="G27" s="4" t="s">
        <v>151</v>
      </c>
      <c r="H27" s="4"/>
      <c r="I27" s="6" t="s">
        <v>23</v>
      </c>
      <c r="J27" s="7" t="s">
        <v>30</v>
      </c>
      <c r="K27" s="8" t="s">
        <v>152</v>
      </c>
      <c r="L27" s="9" t="s">
        <v>153</v>
      </c>
      <c r="M27" s="10"/>
      <c r="N27" s="6" t="s">
        <v>28</v>
      </c>
    </row>
    <row r="28" spans="1:14" ht="52.05" customHeight="1" x14ac:dyDescent="0.3">
      <c r="A28" s="3" t="s">
        <v>154</v>
      </c>
      <c r="B28" s="4" t="s">
        <v>146</v>
      </c>
      <c r="C28" s="5" t="s">
        <v>155</v>
      </c>
      <c r="D28" s="4" t="s">
        <v>156</v>
      </c>
      <c r="E28" s="4" t="s">
        <v>157</v>
      </c>
      <c r="F28" s="4" t="s">
        <v>158</v>
      </c>
      <c r="G28" s="4" t="s">
        <v>159</v>
      </c>
      <c r="H28" s="4"/>
      <c r="I28" s="6" t="s">
        <v>23</v>
      </c>
      <c r="J28" s="11" t="s">
        <v>71</v>
      </c>
      <c r="K28" s="8" t="s">
        <v>160</v>
      </c>
      <c r="L28" s="9" t="s">
        <v>161</v>
      </c>
      <c r="M28" s="10" t="s">
        <v>162</v>
      </c>
      <c r="N28" s="6" t="s">
        <v>28</v>
      </c>
    </row>
    <row r="29" spans="1:14" ht="52.05" customHeight="1" x14ac:dyDescent="0.3">
      <c r="A29" s="3" t="s">
        <v>163</v>
      </c>
      <c r="B29" s="4" t="s">
        <v>146</v>
      </c>
      <c r="C29" s="5" t="s">
        <v>164</v>
      </c>
      <c r="D29" s="4" t="s">
        <v>165</v>
      </c>
      <c r="E29" s="4" t="s">
        <v>166</v>
      </c>
      <c r="F29" s="4" t="s">
        <v>167</v>
      </c>
      <c r="G29" s="4" t="s">
        <v>168</v>
      </c>
      <c r="H29" s="4"/>
      <c r="I29" s="6" t="s">
        <v>23</v>
      </c>
      <c r="J29" s="13" t="s">
        <v>24</v>
      </c>
      <c r="K29" s="8" t="s">
        <v>169</v>
      </c>
      <c r="L29" s="9" t="s">
        <v>170</v>
      </c>
      <c r="M29" s="10" t="s">
        <v>171</v>
      </c>
      <c r="N29" s="6" t="s">
        <v>28</v>
      </c>
    </row>
    <row r="30" spans="1:14" x14ac:dyDescent="0.3">
      <c r="A30" s="2" t="s">
        <v>172</v>
      </c>
    </row>
    <row r="31" spans="1:14" ht="39.6" x14ac:dyDescent="0.3">
      <c r="A31" s="3" t="s">
        <v>173</v>
      </c>
      <c r="B31" s="4" t="s">
        <v>174</v>
      </c>
      <c r="C31" s="5" t="s">
        <v>175</v>
      </c>
      <c r="D31" s="4" t="s">
        <v>176</v>
      </c>
      <c r="E31" s="4" t="s">
        <v>177</v>
      </c>
      <c r="F31" s="4" t="s">
        <v>178</v>
      </c>
      <c r="G31" s="4" t="s">
        <v>179</v>
      </c>
      <c r="H31" s="4"/>
      <c r="I31" s="6" t="s">
        <v>23</v>
      </c>
      <c r="J31" s="13" t="s">
        <v>24</v>
      </c>
      <c r="K31" s="8" t="s">
        <v>54</v>
      </c>
      <c r="L31" s="9" t="s">
        <v>180</v>
      </c>
      <c r="M31" s="10" t="s">
        <v>181</v>
      </c>
      <c r="N31" s="6" t="s">
        <v>28</v>
      </c>
    </row>
    <row r="32" spans="1:14" ht="52.8" x14ac:dyDescent="0.3">
      <c r="A32" s="3" t="s">
        <v>182</v>
      </c>
      <c r="B32" s="4" t="s">
        <v>174</v>
      </c>
      <c r="C32" s="5" t="s">
        <v>183</v>
      </c>
      <c r="D32" s="4" t="s">
        <v>184</v>
      </c>
      <c r="E32" s="4" t="s">
        <v>185</v>
      </c>
      <c r="F32" s="4" t="s">
        <v>186</v>
      </c>
      <c r="G32" s="4" t="s">
        <v>187</v>
      </c>
      <c r="H32" s="4"/>
      <c r="I32" s="6" t="s">
        <v>23</v>
      </c>
      <c r="J32" s="13" t="s">
        <v>24</v>
      </c>
      <c r="K32" s="8" t="s">
        <v>188</v>
      </c>
      <c r="L32" s="9" t="s">
        <v>189</v>
      </c>
      <c r="M32" s="10" t="s">
        <v>190</v>
      </c>
      <c r="N32" s="6" t="s">
        <v>28</v>
      </c>
    </row>
    <row r="33" spans="1:14" ht="52.8" x14ac:dyDescent="0.3">
      <c r="A33" s="3" t="s">
        <v>191</v>
      </c>
      <c r="B33" s="4" t="s">
        <v>174</v>
      </c>
      <c r="C33" s="5" t="s">
        <v>192</v>
      </c>
      <c r="D33" s="4" t="s">
        <v>193</v>
      </c>
      <c r="E33" s="4" t="s">
        <v>194</v>
      </c>
      <c r="F33" s="4" t="s">
        <v>195</v>
      </c>
      <c r="G33" s="4" t="s">
        <v>196</v>
      </c>
      <c r="H33" s="4"/>
      <c r="I33" s="6" t="s">
        <v>23</v>
      </c>
      <c r="J33" s="7" t="s">
        <v>30</v>
      </c>
      <c r="K33" s="8" t="s">
        <v>197</v>
      </c>
      <c r="L33" s="9" t="s">
        <v>198</v>
      </c>
      <c r="M33" s="10" t="s">
        <v>199</v>
      </c>
      <c r="N33" s="6" t="s">
        <v>28</v>
      </c>
    </row>
    <row r="34" spans="1:14" x14ac:dyDescent="0.3">
      <c r="A34" s="2" t="s">
        <v>200</v>
      </c>
    </row>
    <row r="35" spans="1:14" ht="39.6" x14ac:dyDescent="0.3">
      <c r="A35" s="3" t="s">
        <v>201</v>
      </c>
      <c r="B35" s="4" t="s">
        <v>202</v>
      </c>
      <c r="C35" s="5" t="s">
        <v>203</v>
      </c>
      <c r="D35" s="4" t="s">
        <v>59</v>
      </c>
      <c r="E35" s="4" t="s">
        <v>204</v>
      </c>
      <c r="F35" s="4" t="s">
        <v>205</v>
      </c>
      <c r="G35" s="4" t="s">
        <v>206</v>
      </c>
      <c r="H35" s="4"/>
      <c r="I35" s="6" t="s">
        <v>23</v>
      </c>
      <c r="J35" s="12" t="s">
        <v>114</v>
      </c>
      <c r="K35" s="8" t="s">
        <v>125</v>
      </c>
      <c r="L35" s="9" t="s">
        <v>207</v>
      </c>
      <c r="M35" s="10" t="s">
        <v>208</v>
      </c>
      <c r="N35" s="6" t="s">
        <v>28</v>
      </c>
    </row>
    <row r="36" spans="1:14" ht="39.6" x14ac:dyDescent="0.3">
      <c r="A36" s="3" t="s">
        <v>209</v>
      </c>
      <c r="B36" s="4" t="s">
        <v>202</v>
      </c>
      <c r="C36" s="5" t="s">
        <v>210</v>
      </c>
      <c r="D36" s="4" t="s">
        <v>211</v>
      </c>
      <c r="E36" s="4" t="s">
        <v>212</v>
      </c>
      <c r="F36" s="4" t="s">
        <v>213</v>
      </c>
      <c r="G36" s="4" t="s">
        <v>214</v>
      </c>
      <c r="H36" s="4"/>
      <c r="I36" s="6" t="s">
        <v>23</v>
      </c>
      <c r="J36" s="11" t="s">
        <v>71</v>
      </c>
      <c r="K36" s="8" t="s">
        <v>215</v>
      </c>
      <c r="L36" s="9" t="s">
        <v>216</v>
      </c>
      <c r="M36" s="10"/>
      <c r="N36" s="6" t="s">
        <v>28</v>
      </c>
    </row>
    <row r="37" spans="1:14" ht="39.6" x14ac:dyDescent="0.3">
      <c r="A37" s="3" t="s">
        <v>217</v>
      </c>
      <c r="B37" s="4" t="s">
        <v>202</v>
      </c>
      <c r="C37" s="5" t="s">
        <v>218</v>
      </c>
      <c r="D37" s="4" t="s">
        <v>59</v>
      </c>
      <c r="E37" s="4" t="s">
        <v>219</v>
      </c>
      <c r="F37" s="4" t="s">
        <v>220</v>
      </c>
      <c r="G37" s="4" t="s">
        <v>221</v>
      </c>
      <c r="H37" s="4"/>
      <c r="I37" s="6" t="s">
        <v>23</v>
      </c>
      <c r="J37" s="12" t="s">
        <v>114</v>
      </c>
      <c r="K37" s="8" t="s">
        <v>222</v>
      </c>
      <c r="L37" s="9" t="s">
        <v>223</v>
      </c>
      <c r="M37" s="10" t="s">
        <v>224</v>
      </c>
      <c r="N37" s="6" t="s">
        <v>28</v>
      </c>
    </row>
    <row r="38" spans="1:14" ht="22.05" customHeight="1" x14ac:dyDescent="0.3">
      <c r="A38" s="20" t="s">
        <v>225</v>
      </c>
      <c r="B38" s="19"/>
      <c r="C38" s="19"/>
      <c r="D38" s="19"/>
      <c r="E38" s="19"/>
      <c r="F38" s="19"/>
      <c r="G38" s="19"/>
      <c r="H38" s="19"/>
      <c r="I38" s="19"/>
      <c r="J38" s="19"/>
      <c r="K38" s="19"/>
      <c r="L38" s="19"/>
      <c r="M38" s="19"/>
      <c r="N38" s="19"/>
    </row>
    <row r="39" spans="1:14" ht="55.05" customHeight="1" x14ac:dyDescent="0.3">
      <c r="A39" s="3" t="s">
        <v>226</v>
      </c>
      <c r="B39" s="4" t="s">
        <v>227</v>
      </c>
      <c r="C39" s="5" t="s">
        <v>228</v>
      </c>
      <c r="D39" s="4" t="s">
        <v>229</v>
      </c>
      <c r="E39" s="4" t="s">
        <v>230</v>
      </c>
      <c r="F39" s="4" t="s">
        <v>231</v>
      </c>
      <c r="G39" s="4" t="s">
        <v>232</v>
      </c>
      <c r="H39" s="4"/>
      <c r="I39" s="6" t="s">
        <v>23</v>
      </c>
      <c r="J39" s="11" t="s">
        <v>71</v>
      </c>
      <c r="K39" s="8" t="s">
        <v>233</v>
      </c>
      <c r="L39" s="9" t="s">
        <v>234</v>
      </c>
      <c r="M39" s="10" t="s">
        <v>235</v>
      </c>
      <c r="N39" s="6" t="s">
        <v>28</v>
      </c>
    </row>
    <row r="40" spans="1:14" ht="55.05" customHeight="1" x14ac:dyDescent="0.3">
      <c r="A40" s="3" t="s">
        <v>236</v>
      </c>
      <c r="B40" s="4" t="s">
        <v>227</v>
      </c>
      <c r="C40" s="5" t="s">
        <v>237</v>
      </c>
      <c r="D40" s="4" t="s">
        <v>238</v>
      </c>
      <c r="E40" s="4" t="s">
        <v>239</v>
      </c>
      <c r="F40" s="4" t="s">
        <v>240</v>
      </c>
      <c r="G40" s="4" t="s">
        <v>241</v>
      </c>
      <c r="H40" s="4"/>
      <c r="I40" s="6" t="s">
        <v>23</v>
      </c>
      <c r="J40" s="11" t="s">
        <v>71</v>
      </c>
      <c r="K40" s="8" t="s">
        <v>242</v>
      </c>
      <c r="L40" s="9" t="s">
        <v>243</v>
      </c>
      <c r="M40" s="10"/>
      <c r="N40" s="6" t="s">
        <v>28</v>
      </c>
    </row>
    <row r="41" spans="1:14" ht="55.05" customHeight="1" x14ac:dyDescent="0.3">
      <c r="A41" s="3" t="s">
        <v>244</v>
      </c>
      <c r="B41" s="4" t="s">
        <v>227</v>
      </c>
      <c r="C41" s="5" t="s">
        <v>245</v>
      </c>
      <c r="D41" s="4" t="s">
        <v>246</v>
      </c>
      <c r="E41" s="4" t="s">
        <v>247</v>
      </c>
      <c r="F41" s="4" t="s">
        <v>248</v>
      </c>
      <c r="G41" s="4" t="s">
        <v>249</v>
      </c>
      <c r="H41" s="4"/>
      <c r="I41" s="6" t="s">
        <v>23</v>
      </c>
      <c r="J41" s="11" t="s">
        <v>71</v>
      </c>
      <c r="K41" s="8" t="s">
        <v>250</v>
      </c>
      <c r="L41" s="9" t="s">
        <v>251</v>
      </c>
      <c r="M41" s="10" t="s">
        <v>252</v>
      </c>
      <c r="N41" s="6" t="s">
        <v>28</v>
      </c>
    </row>
    <row r="42" spans="1:14" ht="55.05" customHeight="1" x14ac:dyDescent="0.3">
      <c r="A42" s="3" t="s">
        <v>253</v>
      </c>
      <c r="B42" s="4" t="s">
        <v>227</v>
      </c>
      <c r="C42" s="5" t="s">
        <v>254</v>
      </c>
      <c r="D42" s="4" t="s">
        <v>255</v>
      </c>
      <c r="E42" s="4" t="s">
        <v>256</v>
      </c>
      <c r="F42" s="4" t="s">
        <v>257</v>
      </c>
      <c r="G42" s="4" t="s">
        <v>258</v>
      </c>
      <c r="H42" s="4"/>
      <c r="I42" s="6" t="s">
        <v>23</v>
      </c>
      <c r="J42" s="12" t="s">
        <v>114</v>
      </c>
      <c r="K42" s="8" t="s">
        <v>259</v>
      </c>
      <c r="L42" s="9" t="s">
        <v>260</v>
      </c>
      <c r="M42" s="10"/>
      <c r="N42" s="6" t="s">
        <v>28</v>
      </c>
    </row>
    <row r="43" spans="1:14" ht="55.05" customHeight="1" x14ac:dyDescent="0.3">
      <c r="A43" s="3" t="s">
        <v>261</v>
      </c>
      <c r="B43" s="4" t="s">
        <v>227</v>
      </c>
      <c r="C43" s="5" t="s">
        <v>262</v>
      </c>
      <c r="D43" s="4" t="s">
        <v>246</v>
      </c>
      <c r="E43" s="4" t="s">
        <v>263</v>
      </c>
      <c r="F43" s="4" t="s">
        <v>264</v>
      </c>
      <c r="G43" s="4" t="s">
        <v>265</v>
      </c>
      <c r="H43" s="4"/>
      <c r="I43" s="6" t="s">
        <v>23</v>
      </c>
      <c r="J43" s="7" t="s">
        <v>30</v>
      </c>
      <c r="K43" s="8" t="s">
        <v>266</v>
      </c>
      <c r="L43" s="9" t="s">
        <v>267</v>
      </c>
      <c r="M43" s="10" t="s">
        <v>268</v>
      </c>
      <c r="N43" s="6" t="s">
        <v>28</v>
      </c>
    </row>
    <row r="44" spans="1:14" ht="55.05" customHeight="1" x14ac:dyDescent="0.3">
      <c r="A44" s="3" t="s">
        <v>269</v>
      </c>
      <c r="B44" s="4" t="s">
        <v>227</v>
      </c>
      <c r="C44" s="5" t="s">
        <v>270</v>
      </c>
      <c r="D44" s="4" t="s">
        <v>246</v>
      </c>
      <c r="E44" s="4" t="s">
        <v>271</v>
      </c>
      <c r="F44" s="4" t="s">
        <v>272</v>
      </c>
      <c r="G44" s="4" t="s">
        <v>273</v>
      </c>
      <c r="H44" s="4"/>
      <c r="I44" s="6" t="s">
        <v>23</v>
      </c>
      <c r="J44" s="12" t="s">
        <v>114</v>
      </c>
      <c r="K44" s="8" t="s">
        <v>274</v>
      </c>
      <c r="L44" s="9" t="s">
        <v>275</v>
      </c>
      <c r="M44" s="10"/>
      <c r="N44" s="6" t="s">
        <v>28</v>
      </c>
    </row>
    <row r="45" spans="1:14" ht="55.05" customHeight="1" x14ac:dyDescent="0.3">
      <c r="A45" s="3" t="s">
        <v>276</v>
      </c>
      <c r="B45" s="4" t="s">
        <v>227</v>
      </c>
      <c r="C45" s="5" t="s">
        <v>277</v>
      </c>
      <c r="D45" s="4" t="s">
        <v>246</v>
      </c>
      <c r="E45" s="4" t="s">
        <v>278</v>
      </c>
      <c r="F45" s="4" t="s">
        <v>279</v>
      </c>
      <c r="G45" s="4" t="s">
        <v>280</v>
      </c>
      <c r="H45" s="4"/>
      <c r="I45" s="6" t="s">
        <v>23</v>
      </c>
      <c r="J45" s="12" t="s">
        <v>114</v>
      </c>
      <c r="K45" s="8" t="s">
        <v>222</v>
      </c>
      <c r="L45" s="9" t="s">
        <v>223</v>
      </c>
      <c r="M45" s="10" t="s">
        <v>281</v>
      </c>
      <c r="N45" s="6" t="s">
        <v>28</v>
      </c>
    </row>
    <row r="46" spans="1:14" ht="55.05" customHeight="1" x14ac:dyDescent="0.3">
      <c r="A46" s="3" t="s">
        <v>282</v>
      </c>
      <c r="B46" s="4" t="s">
        <v>227</v>
      </c>
      <c r="C46" s="5" t="s">
        <v>283</v>
      </c>
      <c r="D46" s="4" t="s">
        <v>246</v>
      </c>
      <c r="E46" s="4" t="s">
        <v>284</v>
      </c>
      <c r="F46" s="4" t="s">
        <v>285</v>
      </c>
      <c r="G46" s="4" t="s">
        <v>286</v>
      </c>
      <c r="H46" s="4"/>
      <c r="I46" s="6" t="s">
        <v>23</v>
      </c>
      <c r="J46" s="11" t="s">
        <v>71</v>
      </c>
      <c r="K46" s="8" t="s">
        <v>287</v>
      </c>
      <c r="L46" s="9" t="s">
        <v>288</v>
      </c>
      <c r="M46" s="10" t="s">
        <v>289</v>
      </c>
      <c r="N46" s="6" t="s">
        <v>28</v>
      </c>
    </row>
    <row r="47" spans="1:14" ht="55.05" customHeight="1" x14ac:dyDescent="0.3">
      <c r="A47" s="3" t="s">
        <v>290</v>
      </c>
      <c r="B47" s="4" t="s">
        <v>227</v>
      </c>
      <c r="C47" s="5" t="s">
        <v>291</v>
      </c>
      <c r="D47" s="4" t="s">
        <v>246</v>
      </c>
      <c r="E47" s="4" t="s">
        <v>292</v>
      </c>
      <c r="F47" s="4" t="s">
        <v>293</v>
      </c>
      <c r="G47" s="4" t="s">
        <v>294</v>
      </c>
      <c r="H47" s="4"/>
      <c r="I47" s="6" t="s">
        <v>23</v>
      </c>
      <c r="J47" s="11" t="s">
        <v>71</v>
      </c>
      <c r="K47" s="8" t="s">
        <v>295</v>
      </c>
      <c r="L47" s="9" t="s">
        <v>296</v>
      </c>
      <c r="M47" s="10" t="s">
        <v>297</v>
      </c>
      <c r="N47" s="6" t="s">
        <v>28</v>
      </c>
    </row>
    <row r="48" spans="1:14" ht="55.05" customHeight="1" x14ac:dyDescent="0.3">
      <c r="A48" s="3" t="s">
        <v>298</v>
      </c>
      <c r="B48" s="4" t="s">
        <v>227</v>
      </c>
      <c r="C48" s="5" t="s">
        <v>299</v>
      </c>
      <c r="D48" s="4" t="s">
        <v>246</v>
      </c>
      <c r="E48" s="4" t="s">
        <v>300</v>
      </c>
      <c r="F48" s="4" t="s">
        <v>301</v>
      </c>
      <c r="G48" s="4" t="s">
        <v>302</v>
      </c>
      <c r="H48" s="4"/>
      <c r="I48" s="6" t="s">
        <v>23</v>
      </c>
      <c r="J48" s="12" t="s">
        <v>114</v>
      </c>
      <c r="K48" s="8" t="s">
        <v>303</v>
      </c>
      <c r="L48" s="9" t="s">
        <v>304</v>
      </c>
      <c r="M48" s="10" t="s">
        <v>305</v>
      </c>
      <c r="N48" s="6" t="s">
        <v>28</v>
      </c>
    </row>
  </sheetData>
  <mergeCells count="8">
    <mergeCell ref="A2:N2"/>
    <mergeCell ref="A38:N38"/>
    <mergeCell ref="A1:N1"/>
    <mergeCell ref="A12:N12"/>
    <mergeCell ref="A22:N22"/>
    <mergeCell ref="A26:N26"/>
    <mergeCell ref="A17:N17"/>
    <mergeCell ref="A4:N4"/>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30"/>
  <sheetViews>
    <sheetView workbookViewId="0"/>
  </sheetViews>
  <sheetFormatPr defaultRowHeight="14.4" x14ac:dyDescent="0.3"/>
  <cols>
    <col min="1" max="2" width="22" customWidth="1"/>
    <col min="3" max="3" width="35" customWidth="1"/>
    <col min="4" max="4" width="22" customWidth="1"/>
    <col min="5" max="5" width="12" customWidth="1"/>
    <col min="6" max="6" width="10" customWidth="1"/>
    <col min="7" max="7" width="28" customWidth="1"/>
  </cols>
  <sheetData>
    <row r="1" spans="1:7" ht="30" customHeight="1" x14ac:dyDescent="0.3">
      <c r="A1" s="24" t="s">
        <v>306</v>
      </c>
      <c r="B1" s="19"/>
      <c r="C1" s="19"/>
      <c r="D1" s="19"/>
      <c r="E1" s="19"/>
      <c r="F1" s="19"/>
      <c r="G1" s="19"/>
    </row>
    <row r="2" spans="1:7" ht="24" customHeight="1" x14ac:dyDescent="0.3">
      <c r="A2" s="1" t="s">
        <v>307</v>
      </c>
      <c r="B2" s="1" t="s">
        <v>308</v>
      </c>
      <c r="C2" s="1" t="s">
        <v>309</v>
      </c>
      <c r="D2" s="1" t="s">
        <v>310</v>
      </c>
      <c r="E2" s="1" t="s">
        <v>311</v>
      </c>
      <c r="F2" s="1" t="s">
        <v>312</v>
      </c>
      <c r="G2" s="1" t="s">
        <v>14</v>
      </c>
    </row>
    <row r="3" spans="1:7" x14ac:dyDescent="0.3">
      <c r="A3" s="14" t="s">
        <v>313</v>
      </c>
      <c r="B3" s="14" t="s">
        <v>314</v>
      </c>
      <c r="C3" s="14" t="s">
        <v>315</v>
      </c>
      <c r="D3" s="14" t="s">
        <v>316</v>
      </c>
      <c r="E3" s="14" t="s">
        <v>317</v>
      </c>
      <c r="F3" s="14" t="s">
        <v>318</v>
      </c>
      <c r="G3" s="14" t="s">
        <v>319</v>
      </c>
    </row>
    <row r="4" spans="1:7" ht="26.4" x14ac:dyDescent="0.3">
      <c r="A4" s="17" t="s">
        <v>320</v>
      </c>
      <c r="B4" s="17" t="s">
        <v>321</v>
      </c>
      <c r="C4" s="17" t="s">
        <v>322</v>
      </c>
      <c r="D4" s="17" t="s">
        <v>316</v>
      </c>
      <c r="E4" s="17" t="s">
        <v>323</v>
      </c>
      <c r="F4" s="17" t="s">
        <v>318</v>
      </c>
      <c r="G4" s="17" t="s">
        <v>324</v>
      </c>
    </row>
    <row r="5" spans="1:7" ht="26.4" x14ac:dyDescent="0.3">
      <c r="A5" s="17" t="s">
        <v>325</v>
      </c>
      <c r="B5" s="17" t="s">
        <v>326</v>
      </c>
      <c r="C5" s="17" t="s">
        <v>327</v>
      </c>
      <c r="D5" s="17" t="s">
        <v>316</v>
      </c>
      <c r="E5" s="17" t="s">
        <v>328</v>
      </c>
      <c r="F5" s="17" t="s">
        <v>318</v>
      </c>
      <c r="G5" s="17"/>
    </row>
    <row r="6" spans="1:7" x14ac:dyDescent="0.3">
      <c r="A6" s="14" t="s">
        <v>329</v>
      </c>
      <c r="B6" s="14" t="s">
        <v>330</v>
      </c>
      <c r="C6" s="14" t="s">
        <v>331</v>
      </c>
      <c r="D6" s="14" t="s">
        <v>74</v>
      </c>
      <c r="E6" s="14" t="s">
        <v>332</v>
      </c>
      <c r="F6" s="14" t="s">
        <v>318</v>
      </c>
      <c r="G6" s="14"/>
    </row>
    <row r="7" spans="1:7" x14ac:dyDescent="0.3">
      <c r="A7" s="14" t="s">
        <v>333</v>
      </c>
      <c r="B7" s="14" t="s">
        <v>334</v>
      </c>
      <c r="C7" s="14" t="s">
        <v>335</v>
      </c>
      <c r="D7" s="14" t="s">
        <v>336</v>
      </c>
      <c r="E7" s="14" t="s">
        <v>332</v>
      </c>
      <c r="F7" s="14" t="s">
        <v>318</v>
      </c>
      <c r="G7" s="14"/>
    </row>
    <row r="8" spans="1:7" x14ac:dyDescent="0.3">
      <c r="A8" s="14" t="s">
        <v>337</v>
      </c>
      <c r="B8" s="14" t="s">
        <v>338</v>
      </c>
      <c r="C8" s="14" t="s">
        <v>339</v>
      </c>
      <c r="D8" s="14" t="s">
        <v>48</v>
      </c>
      <c r="E8" s="14" t="s">
        <v>332</v>
      </c>
      <c r="F8" s="14" t="s">
        <v>318</v>
      </c>
      <c r="G8" s="14"/>
    </row>
    <row r="9" spans="1:7" x14ac:dyDescent="0.3">
      <c r="A9" s="14" t="s">
        <v>340</v>
      </c>
      <c r="B9" s="14" t="s">
        <v>341</v>
      </c>
      <c r="C9" s="14" t="s">
        <v>342</v>
      </c>
      <c r="D9" s="14" t="s">
        <v>343</v>
      </c>
      <c r="E9" s="14" t="s">
        <v>332</v>
      </c>
      <c r="F9" s="14" t="s">
        <v>318</v>
      </c>
      <c r="G9" s="14" t="e">
        <f>Current + Step</f>
        <v>#NAME?</v>
      </c>
    </row>
    <row r="10" spans="1:7" x14ac:dyDescent="0.3">
      <c r="A10" s="14" t="s">
        <v>344</v>
      </c>
      <c r="B10" s="14" t="s">
        <v>345</v>
      </c>
      <c r="C10" s="14" t="s">
        <v>346</v>
      </c>
      <c r="D10" s="14" t="s">
        <v>347</v>
      </c>
      <c r="E10" s="14" t="s">
        <v>332</v>
      </c>
      <c r="F10" s="14" t="s">
        <v>318</v>
      </c>
      <c r="G10" s="14"/>
    </row>
    <row r="11" spans="1:7" x14ac:dyDescent="0.3">
      <c r="A11" s="14" t="s">
        <v>348</v>
      </c>
      <c r="B11" s="14" t="s">
        <v>349</v>
      </c>
      <c r="C11" s="14" t="s">
        <v>350</v>
      </c>
      <c r="D11" s="14" t="s">
        <v>173</v>
      </c>
      <c r="E11" s="14" t="s">
        <v>332</v>
      </c>
      <c r="F11" s="14" t="s">
        <v>318</v>
      </c>
      <c r="G11" s="14"/>
    </row>
    <row r="12" spans="1:7" x14ac:dyDescent="0.3">
      <c r="A12" s="14" t="s">
        <v>351</v>
      </c>
      <c r="B12" s="14" t="s">
        <v>338</v>
      </c>
      <c r="C12" s="14" t="s">
        <v>352</v>
      </c>
      <c r="D12" s="14" t="s">
        <v>94</v>
      </c>
      <c r="E12" s="14" t="s">
        <v>332</v>
      </c>
      <c r="F12" s="14" t="s">
        <v>353</v>
      </c>
      <c r="G12" s="14" t="s">
        <v>31</v>
      </c>
    </row>
    <row r="13" spans="1:7" x14ac:dyDescent="0.3">
      <c r="A13" s="14" t="s">
        <v>354</v>
      </c>
      <c r="B13" s="14" t="s">
        <v>355</v>
      </c>
      <c r="C13" s="14" t="s">
        <v>356</v>
      </c>
      <c r="D13" s="14" t="s">
        <v>102</v>
      </c>
      <c r="E13" s="14" t="s">
        <v>332</v>
      </c>
      <c r="F13" s="14" t="s">
        <v>353</v>
      </c>
      <c r="G13" s="14" t="s">
        <v>116</v>
      </c>
    </row>
    <row r="14" spans="1:7" x14ac:dyDescent="0.3">
      <c r="A14" s="14" t="s">
        <v>357</v>
      </c>
      <c r="B14" s="14" t="s">
        <v>358</v>
      </c>
      <c r="C14" s="14" t="s">
        <v>359</v>
      </c>
      <c r="D14" s="14" t="s">
        <v>109</v>
      </c>
      <c r="E14" s="14" t="s">
        <v>332</v>
      </c>
      <c r="F14" s="14" t="s">
        <v>353</v>
      </c>
      <c r="G14" s="14" t="s">
        <v>116</v>
      </c>
    </row>
    <row r="15" spans="1:7" x14ac:dyDescent="0.3">
      <c r="A15" s="14" t="s">
        <v>360</v>
      </c>
      <c r="B15" s="14" t="s">
        <v>361</v>
      </c>
      <c r="C15" s="14" t="s">
        <v>362</v>
      </c>
      <c r="D15" s="14" t="s">
        <v>101</v>
      </c>
      <c r="E15" s="14" t="s">
        <v>317</v>
      </c>
      <c r="F15" s="14" t="s">
        <v>353</v>
      </c>
      <c r="G15" s="14" t="s">
        <v>31</v>
      </c>
    </row>
    <row r="16" spans="1:7" x14ac:dyDescent="0.3">
      <c r="A16" s="14" t="s">
        <v>363</v>
      </c>
      <c r="B16" s="14" t="s">
        <v>364</v>
      </c>
      <c r="C16" s="14" t="s">
        <v>365</v>
      </c>
      <c r="D16" s="14" t="s">
        <v>366</v>
      </c>
      <c r="E16" s="14" t="s">
        <v>317</v>
      </c>
      <c r="F16" s="14" t="s">
        <v>318</v>
      </c>
      <c r="G16" s="14"/>
    </row>
    <row r="17" spans="1:7" x14ac:dyDescent="0.3">
      <c r="A17" s="14" t="s">
        <v>367</v>
      </c>
      <c r="B17" s="14" t="s">
        <v>368</v>
      </c>
      <c r="C17" s="14" t="s">
        <v>369</v>
      </c>
      <c r="D17" s="14" t="s">
        <v>366</v>
      </c>
      <c r="E17" s="14" t="s">
        <v>317</v>
      </c>
      <c r="F17" s="14" t="s">
        <v>318</v>
      </c>
      <c r="G17" s="14"/>
    </row>
    <row r="18" spans="1:7" x14ac:dyDescent="0.3">
      <c r="A18" s="14" t="s">
        <v>370</v>
      </c>
      <c r="B18" s="14" t="s">
        <v>371</v>
      </c>
      <c r="C18" s="14" t="s">
        <v>372</v>
      </c>
      <c r="D18" s="14" t="s">
        <v>373</v>
      </c>
      <c r="E18" s="14" t="s">
        <v>332</v>
      </c>
      <c r="F18" s="14" t="s">
        <v>318</v>
      </c>
      <c r="G18" s="14"/>
    </row>
    <row r="19" spans="1:7" x14ac:dyDescent="0.3">
      <c r="A19" s="14" t="s">
        <v>374</v>
      </c>
      <c r="B19" s="14" t="s">
        <v>375</v>
      </c>
      <c r="C19" s="14" t="s">
        <v>376</v>
      </c>
      <c r="D19" s="14" t="s">
        <v>316</v>
      </c>
      <c r="E19" s="14" t="s">
        <v>332</v>
      </c>
      <c r="F19" s="14" t="s">
        <v>318</v>
      </c>
      <c r="G19" s="14"/>
    </row>
    <row r="20" spans="1:7" x14ac:dyDescent="0.3">
      <c r="A20" s="14" t="s">
        <v>377</v>
      </c>
      <c r="B20" s="14" t="s">
        <v>371</v>
      </c>
      <c r="C20" s="14" t="s">
        <v>378</v>
      </c>
      <c r="D20" s="14" t="s">
        <v>379</v>
      </c>
      <c r="E20" s="14" t="s">
        <v>332</v>
      </c>
      <c r="F20" s="14" t="s">
        <v>318</v>
      </c>
      <c r="G20" s="14"/>
    </row>
    <row r="21" spans="1:7" x14ac:dyDescent="0.3">
      <c r="A21" s="23" t="s">
        <v>380</v>
      </c>
      <c r="B21" s="19"/>
      <c r="C21" s="19"/>
      <c r="D21" s="19"/>
      <c r="E21" s="19"/>
      <c r="F21" s="19"/>
      <c r="G21" s="19"/>
    </row>
    <row r="22" spans="1:7" x14ac:dyDescent="0.3">
      <c r="A22" s="14" t="s">
        <v>381</v>
      </c>
      <c r="B22" s="14" t="s">
        <v>382</v>
      </c>
      <c r="C22" s="14" t="s">
        <v>383</v>
      </c>
      <c r="D22" s="14" t="s">
        <v>209</v>
      </c>
      <c r="E22" s="14" t="s">
        <v>332</v>
      </c>
      <c r="F22" s="14" t="s">
        <v>318</v>
      </c>
      <c r="G22" s="14"/>
    </row>
    <row r="23" spans="1:7" x14ac:dyDescent="0.3">
      <c r="A23" s="2" t="s">
        <v>384</v>
      </c>
    </row>
    <row r="24" spans="1:7" x14ac:dyDescent="0.3">
      <c r="A24" s="14" t="s">
        <v>385</v>
      </c>
      <c r="B24" s="14" t="s">
        <v>386</v>
      </c>
      <c r="C24" s="14" t="s">
        <v>387</v>
      </c>
      <c r="D24" s="14" t="s">
        <v>388</v>
      </c>
      <c r="E24" s="14" t="s">
        <v>317</v>
      </c>
      <c r="F24" s="14" t="s">
        <v>318</v>
      </c>
      <c r="G24" s="14" t="s">
        <v>389</v>
      </c>
    </row>
    <row r="25" spans="1:7" x14ac:dyDescent="0.3">
      <c r="A25" s="14" t="s">
        <v>390</v>
      </c>
      <c r="B25" s="14" t="s">
        <v>391</v>
      </c>
      <c r="C25" s="14" t="s">
        <v>392</v>
      </c>
      <c r="D25" s="14" t="s">
        <v>17</v>
      </c>
      <c r="E25" s="14" t="s">
        <v>317</v>
      </c>
      <c r="F25" s="14" t="s">
        <v>318</v>
      </c>
      <c r="G25" s="14"/>
    </row>
    <row r="26" spans="1:7" x14ac:dyDescent="0.3">
      <c r="A26" s="14" t="s">
        <v>393</v>
      </c>
      <c r="B26" s="14" t="s">
        <v>394</v>
      </c>
      <c r="C26" s="14" t="s">
        <v>395</v>
      </c>
      <c r="D26" s="14" t="s">
        <v>34</v>
      </c>
      <c r="E26" s="14" t="s">
        <v>317</v>
      </c>
      <c r="F26" s="14" t="s">
        <v>318</v>
      </c>
      <c r="G26" s="14" t="s">
        <v>396</v>
      </c>
    </row>
    <row r="27" spans="1:7" x14ac:dyDescent="0.3">
      <c r="A27" s="14" t="s">
        <v>397</v>
      </c>
      <c r="B27" s="14" t="s">
        <v>398</v>
      </c>
      <c r="C27" s="14" t="s">
        <v>399</v>
      </c>
      <c r="D27" s="14" t="s">
        <v>34</v>
      </c>
      <c r="E27" s="14" t="s">
        <v>317</v>
      </c>
      <c r="F27" s="14" t="s">
        <v>318</v>
      </c>
      <c r="G27" s="14"/>
    </row>
    <row r="28" spans="1:7" x14ac:dyDescent="0.3">
      <c r="A28" s="14" t="s">
        <v>400</v>
      </c>
      <c r="B28" s="14" t="s">
        <v>401</v>
      </c>
      <c r="C28" s="14" t="s">
        <v>402</v>
      </c>
      <c r="D28" s="14" t="s">
        <v>29</v>
      </c>
      <c r="E28" s="14" t="s">
        <v>317</v>
      </c>
      <c r="F28" s="14" t="s">
        <v>353</v>
      </c>
      <c r="G28" s="14" t="s">
        <v>31</v>
      </c>
    </row>
    <row r="29" spans="1:7" x14ac:dyDescent="0.3">
      <c r="A29" s="14" t="s">
        <v>403</v>
      </c>
      <c r="B29" s="14" t="s">
        <v>404</v>
      </c>
      <c r="C29" s="14" t="s">
        <v>405</v>
      </c>
      <c r="D29" s="14" t="s">
        <v>32</v>
      </c>
      <c r="E29" s="14" t="s">
        <v>317</v>
      </c>
      <c r="F29" s="14" t="s">
        <v>353</v>
      </c>
      <c r="G29" s="14" t="s">
        <v>31</v>
      </c>
    </row>
    <row r="30" spans="1:7" x14ac:dyDescent="0.3">
      <c r="A30" s="14" t="s">
        <v>406</v>
      </c>
      <c r="B30" s="14" t="s">
        <v>407</v>
      </c>
      <c r="C30" s="14" t="s">
        <v>408</v>
      </c>
      <c r="D30" s="14" t="s">
        <v>409</v>
      </c>
      <c r="E30" s="14" t="s">
        <v>317</v>
      </c>
      <c r="F30" s="14" t="s">
        <v>318</v>
      </c>
      <c r="G30" s="14"/>
    </row>
  </sheetData>
  <mergeCells count="2">
    <mergeCell ref="A21:G21"/>
    <mergeCell ref="A1:G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31"/>
  <sheetViews>
    <sheetView workbookViewId="0">
      <pane ySplit="2" topLeftCell="A3" activePane="bottomLeft" state="frozen"/>
      <selection pane="bottomLeft"/>
    </sheetView>
  </sheetViews>
  <sheetFormatPr defaultRowHeight="14.4" x14ac:dyDescent="0.3"/>
  <cols>
    <col min="1" max="1" width="30" customWidth="1"/>
    <col min="2" max="2" width="52" customWidth="1"/>
    <col min="3" max="3" width="40" customWidth="1"/>
    <col min="4" max="4" width="20" customWidth="1"/>
  </cols>
  <sheetData>
    <row r="1" spans="1:4" ht="30" customHeight="1" x14ac:dyDescent="0.3">
      <c r="A1" s="25" t="s">
        <v>410</v>
      </c>
      <c r="B1" s="19"/>
      <c r="C1" s="19"/>
      <c r="D1" s="19"/>
    </row>
    <row r="2" spans="1:4" x14ac:dyDescent="0.3">
      <c r="A2" s="1" t="s">
        <v>411</v>
      </c>
      <c r="B2" s="1" t="s">
        <v>412</v>
      </c>
      <c r="C2" s="1" t="s">
        <v>309</v>
      </c>
      <c r="D2" s="1" t="s">
        <v>413</v>
      </c>
    </row>
    <row r="3" spans="1:4" ht="43.95" customHeight="1" x14ac:dyDescent="0.3">
      <c r="A3" s="15" t="s">
        <v>414</v>
      </c>
      <c r="B3" s="16" t="s">
        <v>415</v>
      </c>
      <c r="C3" s="15" t="s">
        <v>416</v>
      </c>
      <c r="D3" s="15" t="s">
        <v>417</v>
      </c>
    </row>
    <row r="4" spans="1:4" ht="43.95" customHeight="1" x14ac:dyDescent="0.3">
      <c r="A4" s="15" t="s">
        <v>418</v>
      </c>
      <c r="B4" s="16" t="s">
        <v>419</v>
      </c>
      <c r="C4" s="15" t="s">
        <v>420</v>
      </c>
      <c r="D4" s="15" t="s">
        <v>38</v>
      </c>
    </row>
    <row r="5" spans="1:4" ht="30" customHeight="1" x14ac:dyDescent="0.3">
      <c r="A5" s="15" t="s">
        <v>421</v>
      </c>
      <c r="B5" s="16" t="s">
        <v>422</v>
      </c>
      <c r="C5" s="15" t="s">
        <v>423</v>
      </c>
      <c r="D5" s="15" t="s">
        <v>38</v>
      </c>
    </row>
    <row r="6" spans="1:4" ht="30" customHeight="1" x14ac:dyDescent="0.3">
      <c r="A6" s="15" t="s">
        <v>424</v>
      </c>
      <c r="B6" s="16" t="s">
        <v>425</v>
      </c>
      <c r="C6" s="15" t="s">
        <v>426</v>
      </c>
      <c r="D6" s="15" t="s">
        <v>48</v>
      </c>
    </row>
    <row r="7" spans="1:4" ht="30" customHeight="1" x14ac:dyDescent="0.3">
      <c r="A7" s="15" t="s">
        <v>427</v>
      </c>
      <c r="B7" s="16" t="s">
        <v>428</v>
      </c>
      <c r="C7" s="15" t="s">
        <v>429</v>
      </c>
      <c r="D7" s="15" t="s">
        <v>343</v>
      </c>
    </row>
    <row r="8" spans="1:4" ht="30" customHeight="1" x14ac:dyDescent="0.3">
      <c r="A8" s="15" t="s">
        <v>430</v>
      </c>
      <c r="B8" s="16" t="s">
        <v>431</v>
      </c>
      <c r="C8" s="15" t="s">
        <v>432</v>
      </c>
      <c r="D8" s="15" t="s">
        <v>65</v>
      </c>
    </row>
    <row r="9" spans="1:4" ht="30" customHeight="1" x14ac:dyDescent="0.3">
      <c r="A9" s="15" t="s">
        <v>433</v>
      </c>
      <c r="B9" s="16" t="s">
        <v>434</v>
      </c>
      <c r="C9" s="15" t="s">
        <v>435</v>
      </c>
      <c r="D9" s="15" t="s">
        <v>74</v>
      </c>
    </row>
    <row r="10" spans="1:4" ht="30" customHeight="1" x14ac:dyDescent="0.3">
      <c r="A10" s="15" t="s">
        <v>436</v>
      </c>
      <c r="B10" s="16" t="s">
        <v>437</v>
      </c>
      <c r="C10" s="15" t="s">
        <v>438</v>
      </c>
      <c r="D10" s="15" t="s">
        <v>76</v>
      </c>
    </row>
    <row r="11" spans="1:4" ht="30" customHeight="1" x14ac:dyDescent="0.3">
      <c r="A11" s="15" t="s">
        <v>439</v>
      </c>
      <c r="B11" s="16" t="s">
        <v>440</v>
      </c>
      <c r="C11" s="15" t="s">
        <v>441</v>
      </c>
      <c r="D11" s="15" t="s">
        <v>442</v>
      </c>
    </row>
    <row r="12" spans="1:4" ht="30" customHeight="1" x14ac:dyDescent="0.3">
      <c r="A12" s="15" t="s">
        <v>443</v>
      </c>
      <c r="B12" s="16" t="s">
        <v>444</v>
      </c>
      <c r="C12" s="15" t="s">
        <v>445</v>
      </c>
      <c r="D12" s="15" t="s">
        <v>129</v>
      </c>
    </row>
    <row r="13" spans="1:4" ht="30" customHeight="1" x14ac:dyDescent="0.3">
      <c r="A13" s="15" t="s">
        <v>446</v>
      </c>
      <c r="B13" s="16" t="s">
        <v>447</v>
      </c>
      <c r="C13" s="15" t="s">
        <v>448</v>
      </c>
      <c r="D13" s="15" t="s">
        <v>449</v>
      </c>
    </row>
    <row r="14" spans="1:4" ht="30" customHeight="1" x14ac:dyDescent="0.3">
      <c r="A14" s="15" t="s">
        <v>450</v>
      </c>
      <c r="B14" s="16" t="s">
        <v>451</v>
      </c>
      <c r="C14" s="15" t="s">
        <v>452</v>
      </c>
      <c r="D14" s="15" t="s">
        <v>135</v>
      </c>
    </row>
    <row r="15" spans="1:4" ht="30" customHeight="1" x14ac:dyDescent="0.3">
      <c r="A15" s="15" t="s">
        <v>453</v>
      </c>
      <c r="B15" s="16" t="s">
        <v>454</v>
      </c>
      <c r="C15" s="15" t="s">
        <v>455</v>
      </c>
      <c r="D15" s="15" t="s">
        <v>456</v>
      </c>
    </row>
    <row r="16" spans="1:4" ht="30" customHeight="1" x14ac:dyDescent="0.3">
      <c r="A16" s="15" t="s">
        <v>457</v>
      </c>
      <c r="B16" s="16" t="s">
        <v>458</v>
      </c>
      <c r="C16" s="15" t="s">
        <v>459</v>
      </c>
      <c r="D16" s="15" t="s">
        <v>145</v>
      </c>
    </row>
    <row r="17" spans="1:4" ht="30" customHeight="1" x14ac:dyDescent="0.3">
      <c r="A17" s="15" t="s">
        <v>460</v>
      </c>
      <c r="B17" s="16" t="s">
        <v>461</v>
      </c>
      <c r="C17" s="15" t="s">
        <v>462</v>
      </c>
      <c r="D17" s="15" t="s">
        <v>154</v>
      </c>
    </row>
    <row r="18" spans="1:4" ht="30" customHeight="1" x14ac:dyDescent="0.3">
      <c r="A18" s="15" t="s">
        <v>463</v>
      </c>
      <c r="B18" s="16" t="s">
        <v>464</v>
      </c>
      <c r="C18" s="15" t="s">
        <v>465</v>
      </c>
      <c r="D18" s="15" t="s">
        <v>163</v>
      </c>
    </row>
    <row r="19" spans="1:4" ht="30" customHeight="1" x14ac:dyDescent="0.3">
      <c r="A19" s="15" t="s">
        <v>466</v>
      </c>
      <c r="B19" s="16" t="s">
        <v>467</v>
      </c>
      <c r="C19" s="15" t="s">
        <v>468</v>
      </c>
      <c r="D19" s="15" t="s">
        <v>173</v>
      </c>
    </row>
    <row r="20" spans="1:4" ht="30" customHeight="1" x14ac:dyDescent="0.3">
      <c r="A20" s="15" t="s">
        <v>469</v>
      </c>
      <c r="B20" s="16" t="s">
        <v>470</v>
      </c>
      <c r="C20" s="15" t="s">
        <v>471</v>
      </c>
      <c r="D20" s="15" t="s">
        <v>182</v>
      </c>
    </row>
    <row r="21" spans="1:4" ht="30" customHeight="1" x14ac:dyDescent="0.3">
      <c r="A21" s="15" t="s">
        <v>472</v>
      </c>
      <c r="B21" s="16" t="s">
        <v>473</v>
      </c>
      <c r="C21" s="15" t="s">
        <v>474</v>
      </c>
      <c r="D21" s="15" t="s">
        <v>191</v>
      </c>
    </row>
    <row r="22" spans="1:4" ht="30" customHeight="1" x14ac:dyDescent="0.3">
      <c r="A22" s="15" t="s">
        <v>475</v>
      </c>
      <c r="B22" s="16" t="s">
        <v>476</v>
      </c>
      <c r="C22" s="15" t="s">
        <v>477</v>
      </c>
      <c r="D22" s="15" t="s">
        <v>201</v>
      </c>
    </row>
    <row r="23" spans="1:4" x14ac:dyDescent="0.3">
      <c r="A23" s="26" t="s">
        <v>478</v>
      </c>
      <c r="B23" s="19"/>
      <c r="C23" s="19"/>
      <c r="D23" s="19"/>
    </row>
    <row r="24" spans="1:4" ht="30" customHeight="1" x14ac:dyDescent="0.3">
      <c r="A24" s="15" t="s">
        <v>479</v>
      </c>
      <c r="B24" s="16" t="s">
        <v>480</v>
      </c>
      <c r="C24" s="15" t="s">
        <v>481</v>
      </c>
      <c r="D24" s="15" t="s">
        <v>217</v>
      </c>
    </row>
    <row r="25" spans="1:4" ht="30" customHeight="1" x14ac:dyDescent="0.3">
      <c r="A25" s="2" t="s">
        <v>482</v>
      </c>
    </row>
    <row r="26" spans="1:4" ht="30" customHeight="1" x14ac:dyDescent="0.3">
      <c r="A26" s="15" t="s">
        <v>483</v>
      </c>
      <c r="B26" s="16" t="s">
        <v>484</v>
      </c>
      <c r="C26" s="15" t="s">
        <v>485</v>
      </c>
      <c r="D26" s="15" t="s">
        <v>17</v>
      </c>
    </row>
    <row r="27" spans="1:4" ht="30" customHeight="1" x14ac:dyDescent="0.3">
      <c r="A27" s="15" t="s">
        <v>486</v>
      </c>
      <c r="B27" s="16" t="s">
        <v>487</v>
      </c>
      <c r="C27" s="15" t="s">
        <v>488</v>
      </c>
      <c r="D27" s="15" t="s">
        <v>29</v>
      </c>
    </row>
    <row r="28" spans="1:4" ht="30" customHeight="1" x14ac:dyDescent="0.3">
      <c r="A28" s="15" t="s">
        <v>489</v>
      </c>
      <c r="B28" s="16" t="s">
        <v>490</v>
      </c>
      <c r="C28" s="15" t="s">
        <v>491</v>
      </c>
      <c r="D28" s="15" t="s">
        <v>32</v>
      </c>
    </row>
    <row r="29" spans="1:4" ht="30" customHeight="1" x14ac:dyDescent="0.3">
      <c r="A29" s="15" t="s">
        <v>492</v>
      </c>
      <c r="B29" s="16" t="s">
        <v>493</v>
      </c>
      <c r="C29" s="15" t="s">
        <v>494</v>
      </c>
      <c r="D29" s="15" t="s">
        <v>34</v>
      </c>
    </row>
    <row r="30" spans="1:4" ht="26.4" x14ac:dyDescent="0.3">
      <c r="A30" s="15" t="s">
        <v>495</v>
      </c>
      <c r="B30" s="16" t="s">
        <v>496</v>
      </c>
      <c r="C30" s="15" t="s">
        <v>497</v>
      </c>
      <c r="D30" s="15" t="s">
        <v>35</v>
      </c>
    </row>
    <row r="31" spans="1:4" x14ac:dyDescent="0.3">
      <c r="A31" s="15" t="s">
        <v>498</v>
      </c>
      <c r="B31" s="16" t="s">
        <v>499</v>
      </c>
      <c r="C31" s="15" t="s">
        <v>500</v>
      </c>
      <c r="D31" s="15" t="s">
        <v>36</v>
      </c>
    </row>
  </sheetData>
  <mergeCells count="2">
    <mergeCell ref="A1:D1"/>
    <mergeCell ref="A23:D23"/>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Test Cases</vt:lpstr>
      <vt:lpstr>Test Data</vt:lpstr>
      <vt:lpstr>C# Method Reference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hii</cp:lastModifiedBy>
  <dcterms:created xsi:type="dcterms:W3CDTF">2026-05-24T04:54:00Z</dcterms:created>
  <dcterms:modified xsi:type="dcterms:W3CDTF">2026-05-24T05:33:33Z</dcterms:modified>
</cp:coreProperties>
</file>